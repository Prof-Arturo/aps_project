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UBLIC_VIEW" sheetId="2" r:id="rId5"/>
    <sheet state="visible" name="_ARCHIVE_V2_DATA" sheetId="3" r:id="rId6"/>
  </sheets>
  <definedNames/>
  <calcPr/>
</workbook>
</file>

<file path=xl/sharedStrings.xml><?xml version="1.0" encoding="utf-8"?>
<sst xmlns="http://schemas.openxmlformats.org/spreadsheetml/2006/main" count="347" uniqueCount="135">
  <si>
    <t>timestamp</t>
  </si>
  <si>
    <t>log_id</t>
  </si>
  <si>
    <t>engagement_status</t>
  </si>
  <si>
    <t>age_group</t>
  </si>
  <si>
    <t>gender</t>
  </si>
  <si>
    <t>occupation</t>
  </si>
  <si>
    <t>cultural_bg</t>
  </si>
  <si>
    <t>location_state</t>
  </si>
  <si>
    <t>location_specific</t>
  </si>
  <si>
    <t>witness_status</t>
  </si>
  <si>
    <t>phenom_silence</t>
  </si>
  <si>
    <t>phenom_hum</t>
  </si>
  <si>
    <t>phenom_time</t>
  </si>
  <si>
    <t>phenom_nausea</t>
  </si>
  <si>
    <t>phenom_paralysis</t>
  </si>
  <si>
    <t>phenom_tech</t>
  </si>
  <si>
    <t>phenom_ozone</t>
  </si>
  <si>
    <t>phenom_fear</t>
  </si>
  <si>
    <t>narrative</t>
  </si>
  <si>
    <t>attribution</t>
  </si>
  <si>
    <t>contact_info</t>
  </si>
  <si>
    <t>permission_level</t>
  </si>
  <si>
    <t>analyst_notes</t>
  </si>
  <si>
    <t>res_id</t>
  </si>
  <si>
    <t>class_code</t>
  </si>
  <si>
    <t>setting_type</t>
  </si>
  <si>
    <t>env_weather</t>
  </si>
  <si>
    <t>env_noise</t>
  </si>
  <si>
    <t>obs_demeanor</t>
  </si>
  <si>
    <t>obs_delivery</t>
  </si>
  <si>
    <t>CASE-47528</t>
  </si>
  <si>
    <t>VERIFIED_WEB</t>
  </si>
  <si>
    <t>26-35</t>
  </si>
  <si>
    <t>Female</t>
  </si>
  <si>
    <t>Physical Therapy</t>
  </si>
  <si>
    <t>Atheist</t>
  </si>
  <si>
    <t>WA</t>
  </si>
  <si>
    <t>The Brick Saloon in Roslyn WA, basement</t>
  </si>
  <si>
    <t>WITNESS_1</t>
  </si>
  <si>
    <t xml:space="preserve">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t>
  </si>
  <si>
    <t>Other than referring to it as my "phantom mirror" experience, I really don't have any solid theories. The building itself was established in 1889 and is said to be Washington's oldest continuously operating bar (as per their website). Some sources mention a tunnel in the basement used to move alcohol during Prohibition. Only one of the cells are original, and a couple others were added to film "The Runner Stumbles" in 1979. The bar was also featured in the show Northern Exposure. Roslyn was historically a coal mining and logging town, so the jail in the basement likely saw quite a few people in its life. All that to say, the building itself is notable for many reasons but not for any that I could use to explain a "phantom mirror".</t>
  </si>
  <si>
    <t>katieb.50@gmail.com</t>
  </si>
  <si>
    <t>PUBLISH_ANON</t>
  </si>
  <si>
    <t>CASE-75731</t>
  </si>
  <si>
    <t>Chemistry</t>
  </si>
  <si>
    <t>Materialist athiest</t>
  </si>
  <si>
    <t>ALONE</t>
  </si>
  <si>
    <t>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t>
  </si>
  <si>
    <t>Sometimes when driving a route you drive all the time, you kinda zone out and don't really form memories, so I figured I misremembered. Also, it was dark and I was a little tired, which I considered as contributing factors. Maybe I even made a wrong turn and was lucky enough to get back on it and not realize.</t>
  </si>
  <si>
    <t>pugetdrowned67@gmail.com</t>
  </si>
  <si>
    <t>CASE-96915</t>
  </si>
  <si>
    <t>18-25</t>
  </si>
  <si>
    <t>Seattle-ish</t>
  </si>
  <si>
    <t>YES</t>
  </si>
  <si>
    <t xml:space="preserve">Time stopped but music blared. When the song ended and the next began, time resumed. Inbetween was chaos and the other side was normality yet again as if nothing at all had happened.  </t>
  </si>
  <si>
    <t xml:space="preserve">I caused it? Who knows. This is pointless. </t>
  </si>
  <si>
    <t>CASE-46678</t>
  </si>
  <si>
    <t>M</t>
  </si>
  <si>
    <t>Duckabush River trail</t>
  </si>
  <si>
    <t xml:space="preserve">Brief humming/grunt sounds "hmm" "hmm" </t>
  </si>
  <si>
    <t>I think it is not paranormal, just some animal. But like what?? A bird? A bear? Someone please tell me what could do this. We heard it several times a day over a few days along the ~17 mile trail</t>
  </si>
  <si>
    <t>CASE-46732</t>
  </si>
  <si>
    <t>46-55</t>
  </si>
  <si>
    <t>Male</t>
  </si>
  <si>
    <t>Writer</t>
  </si>
  <si>
    <t>Central District Seattle</t>
  </si>
  <si>
    <t>UNCERTAIN</t>
  </si>
  <si>
    <t>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t>
  </si>
  <si>
    <t>It feels like I’m living another life in another dimension. In a dream world</t>
  </si>
  <si>
    <t>dj_dedalus@yahoo.com</t>
  </si>
  <si>
    <t>CASE-59846</t>
  </si>
  <si>
    <t>Non-Binary</t>
  </si>
  <si>
    <t>Early Childhood Education</t>
  </si>
  <si>
    <t xml:space="preserve">Atheist </t>
  </si>
  <si>
    <t>34th Ave W &amp; W Raye Street</t>
  </si>
  <si>
    <t>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t>
  </si>
  <si>
    <t>The most logical and likely explanation is that they were drones, but I've always been open to the possibility that we are not alone.</t>
  </si>
  <si>
    <t>CASE-51685</t>
  </si>
  <si>
    <t>Commercial Diving</t>
  </si>
  <si>
    <t>Catholic</t>
  </si>
  <si>
    <t xml:space="preserve">Lake Washington </t>
  </si>
  <si>
    <t xml:space="preserve">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t>
  </si>
  <si>
    <t xml:space="preserve">I think there is a giant koi fish in Lake Washington, I don’t know how long it’s been there or how it got there. </t>
  </si>
  <si>
    <t>Yatyasguzman@gmail.com</t>
  </si>
  <si>
    <t>CASE-85761</t>
  </si>
  <si>
    <t>Service</t>
  </si>
  <si>
    <t>Agnostic</t>
  </si>
  <si>
    <t>Unknown lake, chelan county?</t>
  </si>
  <si>
    <t>WITNESS_GROUP</t>
  </si>
  <si>
    <t>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t>
  </si>
  <si>
    <t>I had flatly refused to attribute it to the supernatural as a matter of course, but it always felt like we came very close to something too strange.</t>
  </si>
  <si>
    <t>CASE-51740</t>
  </si>
  <si>
    <t>36-45</t>
  </si>
  <si>
    <t>Non-binary</t>
  </si>
  <si>
    <t>Warehouse operations</t>
  </si>
  <si>
    <t>Mostly secular now after living in a cult as a child</t>
  </si>
  <si>
    <t>Downtown Seattle, Freeway Park</t>
  </si>
  <si>
    <t xml:space="preserve">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t>
  </si>
  <si>
    <t xml:space="preserve">Seattle is weird and I have epilepsy. </t>
  </si>
  <si>
    <t>aldermansabina@gmail.com</t>
  </si>
  <si>
    <t>CASE-48244</t>
  </si>
  <si>
    <t>SPAM</t>
  </si>
  <si>
    <t>66+</t>
  </si>
  <si>
    <t>Male, normal</t>
  </si>
  <si>
    <t>Bartender</t>
  </si>
  <si>
    <t>Shoreline</t>
  </si>
  <si>
    <t>I was driving in my 2024 Ford Super Duty Limited, with a jacked chassis, when I suddenly felt an acute pressure in my left ear lobe and a sickness in my stomach, when my 2024 Ford Super Duty Limited, with a jacked chassis, suddenly stalled and I had to pull over. I got out to check on the engine, of my 2024 Ford Super Duty Limited, with a jacked chassis. I then smelled rotten eggs. I thought this was odd because I had just taken a shower last week, and I do not start to smell like eggs ‘til at least three weeks after. I then looked around to find the source of the pungent stank; I believed it was a ran over skunk. As I was taking a gander I heard the beating of wings, I looked up to see if it was some birds but to my surprise it was a humanoid figure with wings spanning at least 50 feet. Its face was reminiscent of a flying fox bat, reminds me of my aunt [REDACTED] 😂, at least from what I could tell. Its eye glowed a sickeningly blood red and its coat shone a navy blue. It hovered for a moment as it seemed to stare into my soul. I then ran back into the safety of my 2024 Ford Super Duty Limited, with a jacked chassis. As I waited for the beast to fly away I felt a pulsing pressure in my frontal lobe, and a tickling sensation in my left cheek, not saying which cheek haha. The beast then flew away, I assume it no longer saw me as an easy target, possibly because of my 2024 Ford Super Duty Limited, with a jacked chassis. I don’t exactly remember anything after that because I was in shock, I had never come across something like this in all 69 of my years, might I add that these years were spent as a red blooded Catholic American.</t>
  </si>
  <si>
    <t>I have since done some research on this topic before I ran into the flyer for this fine institution. I have come to the conclusion, with the help of my Reddit friends, that this was the elusive, notoriously infamous, batsquatch. My dumbass kiddo thought it was just my imagination acting up as I am usually drunk on my drive from my shift at the bar, but that day I was merely tipsy as I have garnered a tolerance to alcohol over the years. So I do believe wholeheartedly that the batsquatch is back.</t>
  </si>
  <si>
    <t>PRIVATE_DATA</t>
  </si>
  <si>
    <t>worldview</t>
  </si>
  <si>
    <t>med_digital</t>
  </si>
  <si>
    <t>med_trad</t>
  </si>
  <si>
    <t>med_sim</t>
  </si>
  <si>
    <t>med_scifi</t>
  </si>
  <si>
    <t>med_naive</t>
  </si>
  <si>
    <t>test_method</t>
  </si>
  <si>
    <t>cons_state</t>
  </si>
  <si>
    <t>soma_paralysis</t>
  </si>
  <si>
    <t>soma_pressure</t>
  </si>
  <si>
    <t>soma_vibe</t>
  </si>
  <si>
    <t>soma_temp</t>
  </si>
  <si>
    <t>soma_nausea</t>
  </si>
  <si>
    <t>vis_type</t>
  </si>
  <si>
    <t>social_ctx</t>
  </si>
  <si>
    <t>prior_aware</t>
  </si>
  <si>
    <t>is_seeking</t>
  </si>
  <si>
    <t>subj_label</t>
  </si>
  <si>
    <t>site_gps</t>
  </si>
  <si>
    <t>env_light</t>
  </si>
  <si>
    <t>env_tech_issues</t>
  </si>
  <si>
    <t>obs_physical</t>
  </si>
  <si>
    <t>field_notes</t>
  </si>
  <si>
    <t>narr_consist</t>
  </si>
  <si>
    <t>impact_score</t>
  </si>
  <si>
    <t>PENDING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</si>
</sst>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vertical="top" wrapText="0"/>
    </xf>
    <xf borderId="0" fillId="0" fontId="1" numFmtId="164" xfId="0" applyAlignment="1" applyFont="1" applyNumberFormat="1">
      <alignmen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xf>
    <xf borderId="0" fillId="0" fontId="1" numFmtId="0" xfId="0" applyAlignment="1" applyFont="1">
      <alignment shrinkToFit="0" vertical="top" wrapText="0"/>
    </xf>
    <xf borderId="0" fillId="0" fontId="1" numFmtId="164" xfId="0" applyAlignment="1" applyFont="1" applyNumberFormat="1">
      <alignment shrinkToFit="0" vertical="top" wrapText="0"/>
    </xf>
    <xf borderId="0" fillId="0" fontId="1" numFmtId="0" xfId="0" applyAlignment="1" applyFont="1">
      <alignment shrinkToFit="0" vertical="center" wrapText="1"/>
    </xf>
    <xf borderId="0" fillId="0" fontId="1" numFmtId="164" xfId="0" applyAlignment="1" applyFont="1" applyNumberFormat="1">
      <alignment shrinkToFit="0" vertical="center" wrapText="1"/>
    </xf>
    <xf borderId="1" fillId="0" fontId="1" numFmtId="164" xfId="0" applyAlignment="1" applyBorder="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3" max="3" width="16.0"/>
    <col customWidth="1" min="23" max="23" width="15.63"/>
    <col customWidth="1" min="36" max="36" width="41.5"/>
    <col customWidth="1" min="38" max="38" width="15.13"/>
    <col customWidth="1" min="39" max="39" width="1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c r="AF1" s="2"/>
      <c r="AG1" s="2"/>
      <c r="AH1" s="2"/>
      <c r="AI1" s="2"/>
      <c r="AJ1" s="2"/>
      <c r="AK1" s="2"/>
      <c r="AL1" s="2"/>
      <c r="AM1" s="2"/>
      <c r="AN1" s="2"/>
      <c r="AO1" s="2"/>
      <c r="AP1" s="2"/>
      <c r="AQ1" s="2"/>
      <c r="AR1" s="2"/>
      <c r="AS1" s="2"/>
      <c r="AT1" s="2"/>
      <c r="AU1" s="2"/>
      <c r="AV1" s="2"/>
      <c r="AW1" s="2"/>
      <c r="AX1" s="2"/>
      <c r="AY1" s="2"/>
      <c r="AZ1" s="2"/>
      <c r="BA1" s="2"/>
      <c r="BB1" s="2"/>
      <c r="BC1" s="2"/>
    </row>
    <row r="2">
      <c r="A2" s="3">
        <v>46026.02750059028</v>
      </c>
      <c r="B2" s="4" t="s">
        <v>30</v>
      </c>
      <c r="C2" s="5" t="s">
        <v>31</v>
      </c>
      <c r="D2" s="4" t="s">
        <v>32</v>
      </c>
      <c r="E2" s="4" t="s">
        <v>33</v>
      </c>
      <c r="F2" s="4" t="s">
        <v>34</v>
      </c>
      <c r="G2" s="4" t="s">
        <v>35</v>
      </c>
      <c r="H2" s="4" t="s">
        <v>36</v>
      </c>
      <c r="I2" s="4" t="s">
        <v>37</v>
      </c>
      <c r="J2" s="4" t="s">
        <v>38</v>
      </c>
      <c r="K2" s="4"/>
      <c r="L2" s="4"/>
      <c r="M2" s="4"/>
      <c r="N2" s="4"/>
      <c r="O2" s="4"/>
      <c r="P2" s="4"/>
      <c r="Q2" s="4"/>
      <c r="R2" s="4"/>
      <c r="S2" s="4" t="s">
        <v>39</v>
      </c>
      <c r="T2" s="4" t="s">
        <v>40</v>
      </c>
      <c r="U2" s="4" t="s">
        <v>41</v>
      </c>
      <c r="V2" s="4" t="s">
        <v>42</v>
      </c>
      <c r="W2" s="4"/>
      <c r="X2" s="6"/>
      <c r="Y2" s="6"/>
      <c r="Z2" s="6"/>
      <c r="AA2" s="6"/>
      <c r="AB2" s="6"/>
      <c r="AC2" s="6"/>
      <c r="AD2" s="6"/>
      <c r="AE2" s="6"/>
      <c r="AF2" s="6"/>
      <c r="AG2" s="6"/>
      <c r="AH2" s="6"/>
      <c r="AI2" s="6"/>
      <c r="AJ2" s="4"/>
      <c r="AK2" s="6"/>
      <c r="AL2" s="4"/>
      <c r="AM2" s="4"/>
      <c r="AN2" s="6"/>
      <c r="AO2" s="4"/>
      <c r="AP2" s="6"/>
      <c r="AQ2" s="6"/>
      <c r="AR2" s="6"/>
      <c r="AS2" s="6"/>
      <c r="AT2" s="6"/>
      <c r="AU2" s="6"/>
      <c r="AV2" s="6"/>
      <c r="AW2" s="6"/>
      <c r="AX2" s="6"/>
      <c r="AY2" s="6"/>
      <c r="AZ2" s="6"/>
      <c r="BA2" s="6"/>
      <c r="BB2" s="6"/>
      <c r="BC2" s="6"/>
    </row>
    <row r="3">
      <c r="A3" s="3">
        <v>46026.1995316088</v>
      </c>
      <c r="B3" s="4" t="s">
        <v>43</v>
      </c>
      <c r="C3" s="5" t="s">
        <v>31</v>
      </c>
      <c r="D3" s="4" t="s">
        <v>32</v>
      </c>
      <c r="E3" s="4"/>
      <c r="F3" s="4" t="s">
        <v>44</v>
      </c>
      <c r="G3" s="4" t="s">
        <v>45</v>
      </c>
      <c r="H3" s="4" t="s">
        <v>36</v>
      </c>
      <c r="I3" s="6"/>
      <c r="J3" s="4" t="s">
        <v>46</v>
      </c>
      <c r="K3" s="6"/>
      <c r="L3" s="4"/>
      <c r="M3" s="4"/>
      <c r="N3" s="4"/>
      <c r="O3" s="4"/>
      <c r="P3" s="4"/>
      <c r="Q3" s="4"/>
      <c r="R3" s="4"/>
      <c r="S3" s="4" t="s">
        <v>47</v>
      </c>
      <c r="T3" s="4" t="s">
        <v>48</v>
      </c>
      <c r="U3" s="4" t="s">
        <v>49</v>
      </c>
      <c r="V3" s="4" t="s">
        <v>42</v>
      </c>
      <c r="W3" s="4"/>
      <c r="X3" s="6"/>
      <c r="Y3" s="6"/>
      <c r="Z3" s="6"/>
      <c r="AA3" s="6"/>
      <c r="AB3" s="6"/>
      <c r="AC3" s="6"/>
      <c r="AD3" s="6"/>
      <c r="AE3" s="6"/>
      <c r="AF3" s="6"/>
      <c r="AG3" s="6"/>
      <c r="AH3" s="6"/>
      <c r="AI3" s="6"/>
      <c r="AJ3" s="4"/>
      <c r="AK3" s="6"/>
      <c r="AL3" s="4"/>
      <c r="AM3" s="4"/>
      <c r="AN3" s="6"/>
      <c r="AO3" s="4"/>
      <c r="AP3" s="6"/>
      <c r="AQ3" s="6"/>
      <c r="AR3" s="6"/>
      <c r="AS3" s="6"/>
      <c r="AT3" s="6"/>
      <c r="AU3" s="6"/>
      <c r="AV3" s="6"/>
      <c r="AW3" s="6"/>
      <c r="AX3" s="6"/>
      <c r="AY3" s="6"/>
      <c r="AZ3" s="6"/>
      <c r="BA3" s="6"/>
      <c r="BB3" s="6"/>
      <c r="BC3" s="6"/>
    </row>
    <row r="4">
      <c r="A4" s="3">
        <v>46026.22720988426</v>
      </c>
      <c r="B4" s="4" t="s">
        <v>50</v>
      </c>
      <c r="C4" s="5" t="s">
        <v>31</v>
      </c>
      <c r="D4" s="4" t="s">
        <v>51</v>
      </c>
      <c r="E4" s="6"/>
      <c r="F4" s="6"/>
      <c r="G4" s="6"/>
      <c r="H4" s="4" t="s">
        <v>36</v>
      </c>
      <c r="I4" s="4" t="s">
        <v>52</v>
      </c>
      <c r="J4" s="4" t="s">
        <v>46</v>
      </c>
      <c r="K4" s="6"/>
      <c r="L4" s="4" t="s">
        <v>53</v>
      </c>
      <c r="M4" s="4" t="s">
        <v>53</v>
      </c>
      <c r="N4" s="6"/>
      <c r="O4" s="6"/>
      <c r="P4" s="6"/>
      <c r="Q4" s="6"/>
      <c r="R4" s="6"/>
      <c r="S4" s="4" t="s">
        <v>54</v>
      </c>
      <c r="T4" s="4" t="s">
        <v>55</v>
      </c>
      <c r="U4" s="6"/>
      <c r="V4" s="4" t="s">
        <v>42</v>
      </c>
      <c r="W4" s="4"/>
      <c r="X4" s="6"/>
      <c r="Y4" s="6"/>
      <c r="Z4" s="6"/>
      <c r="AA4" s="6"/>
      <c r="AB4" s="6"/>
      <c r="AC4" s="6"/>
      <c r="AD4" s="6"/>
      <c r="AE4" s="6"/>
      <c r="AF4" s="6"/>
      <c r="AG4" s="6"/>
      <c r="AH4" s="6"/>
      <c r="AI4" s="6"/>
      <c r="AJ4" s="4"/>
      <c r="AK4" s="4"/>
      <c r="AL4" s="4"/>
      <c r="AM4" s="4"/>
      <c r="AN4" s="6"/>
      <c r="AO4" s="4"/>
      <c r="AP4" s="6"/>
      <c r="AQ4" s="6"/>
      <c r="AR4" s="6"/>
      <c r="AS4" s="6"/>
      <c r="AT4" s="6"/>
      <c r="AU4" s="6"/>
      <c r="AV4" s="6"/>
      <c r="AW4" s="6"/>
      <c r="AX4" s="6"/>
      <c r="AY4" s="6"/>
      <c r="AZ4" s="6"/>
      <c r="BA4" s="6"/>
      <c r="BB4" s="6"/>
      <c r="BC4" s="6"/>
    </row>
    <row r="5">
      <c r="A5" s="3">
        <v>46026.794663043984</v>
      </c>
      <c r="B5" s="4" t="s">
        <v>56</v>
      </c>
      <c r="C5" s="5" t="s">
        <v>31</v>
      </c>
      <c r="D5" s="4" t="s">
        <v>32</v>
      </c>
      <c r="E5" s="4" t="s">
        <v>57</v>
      </c>
      <c r="F5" s="6"/>
      <c r="G5" s="6"/>
      <c r="H5" s="4" t="s">
        <v>36</v>
      </c>
      <c r="I5" s="4" t="s">
        <v>58</v>
      </c>
      <c r="J5" s="4" t="s">
        <v>38</v>
      </c>
      <c r="K5" s="6"/>
      <c r="L5" s="6"/>
      <c r="M5" s="6"/>
      <c r="N5" s="6"/>
      <c r="O5" s="6"/>
      <c r="P5" s="6"/>
      <c r="Q5" s="6"/>
      <c r="R5" s="6"/>
      <c r="S5" s="4" t="s">
        <v>59</v>
      </c>
      <c r="T5" s="4" t="s">
        <v>60</v>
      </c>
      <c r="U5" s="6"/>
      <c r="V5" s="4" t="s">
        <v>42</v>
      </c>
      <c r="W5" s="4"/>
      <c r="X5" s="6"/>
      <c r="Y5" s="6"/>
      <c r="Z5" s="6"/>
      <c r="AA5" s="6"/>
      <c r="AB5" s="6"/>
      <c r="AC5" s="6"/>
      <c r="AD5" s="6"/>
      <c r="AE5" s="6"/>
      <c r="AF5" s="6"/>
      <c r="AG5" s="6"/>
      <c r="AH5" s="6"/>
      <c r="AI5" s="6"/>
      <c r="AJ5" s="4"/>
      <c r="AK5" s="6"/>
      <c r="AL5" s="4"/>
      <c r="AM5" s="4"/>
      <c r="AN5" s="6"/>
      <c r="AO5" s="4"/>
      <c r="AP5" s="6"/>
      <c r="AQ5" s="6"/>
      <c r="AR5" s="6"/>
      <c r="AS5" s="6"/>
      <c r="AT5" s="6"/>
      <c r="AU5" s="6"/>
      <c r="AV5" s="6"/>
      <c r="AW5" s="6"/>
      <c r="AX5" s="6"/>
      <c r="AY5" s="6"/>
      <c r="AZ5" s="6"/>
      <c r="BA5" s="6"/>
      <c r="BB5" s="6"/>
      <c r="BC5" s="6"/>
    </row>
    <row r="6">
      <c r="A6" s="3">
        <v>46026.79670866898</v>
      </c>
      <c r="B6" s="4" t="s">
        <v>61</v>
      </c>
      <c r="C6" s="5" t="s">
        <v>31</v>
      </c>
      <c r="D6" s="4" t="s">
        <v>62</v>
      </c>
      <c r="E6" s="4" t="s">
        <v>63</v>
      </c>
      <c r="F6" s="4" t="s">
        <v>64</v>
      </c>
      <c r="G6" s="4" t="s">
        <v>35</v>
      </c>
      <c r="H6" s="4" t="s">
        <v>36</v>
      </c>
      <c r="I6" s="4" t="s">
        <v>65</v>
      </c>
      <c r="J6" s="4" t="s">
        <v>66</v>
      </c>
      <c r="K6" s="6"/>
      <c r="L6" s="6"/>
      <c r="M6" s="4" t="s">
        <v>53</v>
      </c>
      <c r="N6" s="6"/>
      <c r="O6" s="6"/>
      <c r="P6" s="6"/>
      <c r="Q6" s="6"/>
      <c r="R6" s="6"/>
      <c r="S6" s="4" t="s">
        <v>67</v>
      </c>
      <c r="T6" s="4" t="s">
        <v>68</v>
      </c>
      <c r="U6" s="4" t="s">
        <v>69</v>
      </c>
      <c r="V6" s="4" t="s">
        <v>42</v>
      </c>
      <c r="W6" s="4"/>
      <c r="X6" s="6"/>
      <c r="Y6" s="6"/>
      <c r="Z6" s="6"/>
      <c r="AA6" s="6"/>
      <c r="AB6" s="6"/>
      <c r="AC6" s="6"/>
      <c r="AD6" s="6"/>
      <c r="AE6" s="6"/>
      <c r="AF6" s="6"/>
      <c r="AG6" s="6"/>
      <c r="AH6" s="6"/>
      <c r="AI6" s="6"/>
      <c r="AJ6" s="4"/>
      <c r="AK6" s="4"/>
      <c r="AL6" s="4"/>
      <c r="AM6" s="4"/>
      <c r="AN6" s="6"/>
      <c r="AO6" s="4"/>
      <c r="AP6" s="6"/>
      <c r="AQ6" s="6"/>
      <c r="AR6" s="6"/>
      <c r="AS6" s="6"/>
      <c r="AT6" s="6"/>
      <c r="AU6" s="6"/>
      <c r="AV6" s="6"/>
      <c r="AW6" s="6"/>
      <c r="AX6" s="6"/>
      <c r="AY6" s="6"/>
      <c r="AZ6" s="6"/>
      <c r="BA6" s="6"/>
      <c r="BB6" s="6"/>
      <c r="BC6" s="6"/>
    </row>
    <row r="7">
      <c r="A7" s="3">
        <v>46026.986482465276</v>
      </c>
      <c r="B7" s="4" t="s">
        <v>70</v>
      </c>
      <c r="C7" s="5" t="s">
        <v>31</v>
      </c>
      <c r="D7" s="4" t="s">
        <v>51</v>
      </c>
      <c r="E7" s="4" t="s">
        <v>71</v>
      </c>
      <c r="F7" s="4" t="s">
        <v>72</v>
      </c>
      <c r="G7" s="4" t="s">
        <v>73</v>
      </c>
      <c r="H7" s="4" t="s">
        <v>36</v>
      </c>
      <c r="I7" s="4" t="s">
        <v>74</v>
      </c>
      <c r="J7" s="4" t="s">
        <v>46</v>
      </c>
      <c r="K7" s="6"/>
      <c r="L7" s="6"/>
      <c r="M7" s="6"/>
      <c r="N7" s="6"/>
      <c r="O7" s="6"/>
      <c r="P7" s="6"/>
      <c r="Q7" s="6"/>
      <c r="R7" s="4" t="s">
        <v>53</v>
      </c>
      <c r="S7" s="4" t="s">
        <v>75</v>
      </c>
      <c r="T7" s="4" t="s">
        <v>76</v>
      </c>
      <c r="U7" s="6"/>
      <c r="V7" s="4" t="s">
        <v>42</v>
      </c>
      <c r="W7" s="4"/>
      <c r="X7" s="6"/>
      <c r="Y7" s="6"/>
      <c r="Z7" s="6"/>
      <c r="AA7" s="6"/>
      <c r="AB7" s="6"/>
      <c r="AC7" s="6"/>
      <c r="AD7" s="6"/>
      <c r="AE7" s="6"/>
      <c r="AF7" s="6"/>
      <c r="AG7" s="6"/>
      <c r="AH7" s="6"/>
      <c r="AI7" s="6"/>
      <c r="AJ7" s="4"/>
      <c r="AK7" s="6"/>
      <c r="AL7" s="4"/>
      <c r="AM7" s="4"/>
      <c r="AN7" s="6"/>
      <c r="AO7" s="4"/>
      <c r="AP7" s="6"/>
      <c r="AQ7" s="6"/>
      <c r="AR7" s="6"/>
      <c r="AS7" s="6"/>
      <c r="AT7" s="6"/>
      <c r="AU7" s="6"/>
      <c r="AV7" s="6"/>
      <c r="AW7" s="6"/>
      <c r="AX7" s="6"/>
      <c r="AY7" s="6"/>
      <c r="AZ7" s="6"/>
      <c r="BA7" s="6"/>
      <c r="BB7" s="6"/>
      <c r="BC7" s="6"/>
    </row>
    <row r="8">
      <c r="A8" s="3">
        <v>46027.10575982639</v>
      </c>
      <c r="B8" s="4" t="s">
        <v>77</v>
      </c>
      <c r="C8" s="5" t="s">
        <v>31</v>
      </c>
      <c r="D8" s="4" t="s">
        <v>32</v>
      </c>
      <c r="E8" s="4" t="s">
        <v>63</v>
      </c>
      <c r="F8" s="4" t="s">
        <v>78</v>
      </c>
      <c r="G8" s="4" t="s">
        <v>79</v>
      </c>
      <c r="H8" s="4" t="s">
        <v>36</v>
      </c>
      <c r="I8" s="4" t="s">
        <v>80</v>
      </c>
      <c r="J8" s="4" t="s">
        <v>46</v>
      </c>
      <c r="K8" s="6"/>
      <c r="L8" s="6"/>
      <c r="M8" s="6"/>
      <c r="N8" s="6"/>
      <c r="O8" s="4" t="s">
        <v>53</v>
      </c>
      <c r="P8" s="6"/>
      <c r="Q8" s="6"/>
      <c r="R8" s="6"/>
      <c r="S8" s="4" t="s">
        <v>81</v>
      </c>
      <c r="T8" s="4" t="s">
        <v>82</v>
      </c>
      <c r="U8" s="4" t="s">
        <v>83</v>
      </c>
      <c r="V8" s="4" t="s">
        <v>42</v>
      </c>
      <c r="W8" s="4"/>
      <c r="X8" s="6"/>
      <c r="Y8" s="6"/>
      <c r="Z8" s="6"/>
      <c r="AA8" s="6"/>
      <c r="AB8" s="6"/>
      <c r="AC8" s="6"/>
      <c r="AD8" s="6"/>
      <c r="AE8" s="6"/>
      <c r="AF8" s="6"/>
      <c r="AG8" s="6"/>
      <c r="AH8" s="6"/>
      <c r="AI8" s="6"/>
      <c r="AJ8" s="4"/>
      <c r="AK8" s="4"/>
      <c r="AL8" s="4"/>
      <c r="AM8" s="4"/>
      <c r="AN8" s="6"/>
      <c r="AO8" s="4"/>
      <c r="AP8" s="6"/>
      <c r="AQ8" s="6"/>
      <c r="AR8" s="6"/>
      <c r="AS8" s="6"/>
      <c r="AT8" s="6"/>
      <c r="AU8" s="6"/>
      <c r="AV8" s="6"/>
      <c r="AW8" s="6"/>
      <c r="AX8" s="6"/>
      <c r="AY8" s="6"/>
      <c r="AZ8" s="6"/>
      <c r="BA8" s="6"/>
      <c r="BB8" s="6"/>
      <c r="BC8" s="6"/>
    </row>
    <row r="9">
      <c r="A9" s="3">
        <v>46027.38167475694</v>
      </c>
      <c r="B9" s="4" t="s">
        <v>84</v>
      </c>
      <c r="C9" s="5" t="s">
        <v>31</v>
      </c>
      <c r="D9" s="4" t="s">
        <v>51</v>
      </c>
      <c r="E9" s="4" t="s">
        <v>33</v>
      </c>
      <c r="F9" s="4" t="s">
        <v>85</v>
      </c>
      <c r="G9" s="4" t="s">
        <v>86</v>
      </c>
      <c r="H9" s="4" t="s">
        <v>36</v>
      </c>
      <c r="I9" s="4" t="s">
        <v>87</v>
      </c>
      <c r="J9" s="4" t="s">
        <v>88</v>
      </c>
      <c r="K9" s="6"/>
      <c r="L9" s="6"/>
      <c r="M9" s="6"/>
      <c r="N9" s="6"/>
      <c r="O9" s="6"/>
      <c r="P9" s="6"/>
      <c r="Q9" s="6"/>
      <c r="R9" s="6"/>
      <c r="S9" s="4" t="s">
        <v>89</v>
      </c>
      <c r="T9" s="4" t="s">
        <v>90</v>
      </c>
      <c r="U9" s="6"/>
      <c r="V9" s="4" t="s">
        <v>42</v>
      </c>
      <c r="W9" s="4"/>
      <c r="X9" s="6"/>
      <c r="Y9" s="6"/>
      <c r="Z9" s="6"/>
      <c r="AA9" s="6"/>
      <c r="AB9" s="6"/>
      <c r="AC9" s="6"/>
      <c r="AD9" s="6"/>
      <c r="AE9" s="6"/>
      <c r="AF9" s="6"/>
      <c r="AG9" s="6"/>
      <c r="AH9" s="6"/>
      <c r="AI9" s="6"/>
      <c r="AJ9" s="4"/>
      <c r="AK9" s="6"/>
      <c r="AL9" s="4"/>
      <c r="AM9" s="4"/>
      <c r="AN9" s="6"/>
      <c r="AO9" s="4"/>
      <c r="AP9" s="6"/>
      <c r="AQ9" s="6"/>
      <c r="AR9" s="6"/>
      <c r="AS9" s="6"/>
      <c r="AT9" s="6"/>
      <c r="AU9" s="6"/>
      <c r="AV9" s="6"/>
      <c r="AW9" s="6"/>
      <c r="AX9" s="6"/>
      <c r="AY9" s="6"/>
      <c r="AZ9" s="6"/>
      <c r="BA9" s="6"/>
      <c r="BB9" s="6"/>
      <c r="BC9" s="6"/>
    </row>
    <row r="10">
      <c r="A10" s="3">
        <v>46027.476546087964</v>
      </c>
      <c r="B10" s="4" t="s">
        <v>91</v>
      </c>
      <c r="C10" s="5" t="s">
        <v>31</v>
      </c>
      <c r="D10" s="4" t="s">
        <v>92</v>
      </c>
      <c r="E10" s="4" t="s">
        <v>93</v>
      </c>
      <c r="F10" s="4" t="s">
        <v>94</v>
      </c>
      <c r="G10" s="4" t="s">
        <v>95</v>
      </c>
      <c r="H10" s="4" t="s">
        <v>36</v>
      </c>
      <c r="I10" s="4" t="s">
        <v>96</v>
      </c>
      <c r="J10" s="4" t="s">
        <v>46</v>
      </c>
      <c r="K10" s="4" t="s">
        <v>53</v>
      </c>
      <c r="L10" s="6"/>
      <c r="M10" s="4" t="s">
        <v>53</v>
      </c>
      <c r="N10" s="4" t="s">
        <v>53</v>
      </c>
      <c r="O10" s="6"/>
      <c r="P10" s="6"/>
      <c r="Q10" s="6"/>
      <c r="R10" s="4" t="s">
        <v>53</v>
      </c>
      <c r="S10" s="4" t="s">
        <v>97</v>
      </c>
      <c r="T10" s="4" t="s">
        <v>98</v>
      </c>
      <c r="U10" s="4" t="s">
        <v>99</v>
      </c>
      <c r="V10" s="4" t="s">
        <v>42</v>
      </c>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row>
    <row r="11">
      <c r="A11" s="3">
        <v>46032.00631332176</v>
      </c>
      <c r="B11" s="4" t="s">
        <v>100</v>
      </c>
      <c r="C11" s="4" t="s">
        <v>101</v>
      </c>
      <c r="D11" s="4" t="s">
        <v>102</v>
      </c>
      <c r="E11" s="4" t="s">
        <v>103</v>
      </c>
      <c r="F11" s="4" t="s">
        <v>104</v>
      </c>
      <c r="G11" s="4" t="s">
        <v>79</v>
      </c>
      <c r="H11" s="4" t="s">
        <v>36</v>
      </c>
      <c r="I11" s="4" t="s">
        <v>105</v>
      </c>
      <c r="J11" s="4" t="s">
        <v>46</v>
      </c>
      <c r="K11" s="4" t="s">
        <v>53</v>
      </c>
      <c r="L11" s="6"/>
      <c r="M11" s="6"/>
      <c r="N11" s="4" t="s">
        <v>53</v>
      </c>
      <c r="O11" s="6"/>
      <c r="P11" s="4" t="s">
        <v>53</v>
      </c>
      <c r="Q11" s="4" t="s">
        <v>53</v>
      </c>
      <c r="R11" s="6"/>
      <c r="S11" s="4" t="s">
        <v>106</v>
      </c>
      <c r="T11" s="4" t="s">
        <v>107</v>
      </c>
      <c r="U11" s="6"/>
      <c r="V11" s="4" t="s">
        <v>108</v>
      </c>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row>
    <row r="12">
      <c r="A12" s="7"/>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row>
    <row r="13">
      <c r="A13" s="7"/>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c r="A14" s="7"/>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c r="A15" s="7"/>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c r="A16" s="7"/>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c r="A17" s="7"/>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c r="A18" s="7"/>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c r="A19" s="7"/>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row>
    <row r="20">
      <c r="A20" s="7"/>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row>
    <row r="21">
      <c r="A21" s="7"/>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c r="A22" s="7"/>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c r="A23" s="7"/>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c r="A24" s="7"/>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c r="A25" s="7"/>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c r="A26" s="7"/>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c r="A27" s="7"/>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row>
    <row r="28">
      <c r="A28" s="7"/>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row>
    <row r="29">
      <c r="A29" s="7"/>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row>
    <row r="30">
      <c r="A30" s="7"/>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row>
    <row r="31">
      <c r="A31" s="7"/>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row>
    <row r="32">
      <c r="A32" s="7"/>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row>
    <row r="33">
      <c r="A33" s="7"/>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row>
    <row r="34">
      <c r="A34" s="7"/>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row>
    <row r="35">
      <c r="A35" s="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row>
    <row r="36">
      <c r="A36" s="7"/>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c r="A37" s="7"/>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c r="A38" s="7"/>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c r="A39" s="7"/>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c r="A40" s="7"/>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row>
    <row r="41">
      <c r="A41" s="7"/>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c r="A42" s="7"/>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row>
    <row r="43">
      <c r="A43" s="7"/>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c r="A44" s="7"/>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c r="A45" s="7"/>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c r="A46" s="7"/>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c r="A47" s="7"/>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c r="A48" s="7"/>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c r="A49" s="7"/>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c r="A50" s="7"/>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c r="A51" s="7"/>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c r="A52" s="7"/>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c r="A53" s="7"/>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c r="A54" s="7"/>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c r="A55" s="7"/>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c r="A56" s="7"/>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c r="A57" s="7"/>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c r="A58" s="7"/>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c r="A59" s="7"/>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c r="A60" s="7"/>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c r="A61" s="7"/>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c r="A62" s="7"/>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c r="A64" s="7"/>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c r="A65" s="7"/>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c r="A66" s="7"/>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c r="A67" s="7"/>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c r="A68" s="7"/>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c r="A69" s="7"/>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c r="A70" s="7"/>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c r="A71" s="7"/>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c r="A72" s="7"/>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c r="A73" s="7"/>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c r="A74" s="7"/>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c r="A75" s="7"/>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c r="A76" s="7"/>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c r="A77" s="7"/>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c r="A78" s="7"/>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c r="A79" s="7"/>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c r="A80" s="7"/>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c r="A81" s="7"/>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c r="A82" s="7"/>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c r="A83" s="7"/>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c r="A84" s="7"/>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c r="A85" s="7"/>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c r="A86" s="7"/>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c r="A87" s="7"/>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c r="A88" s="7"/>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c r="A89" s="7"/>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c r="A90" s="7"/>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c r="A91" s="7"/>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c r="A92" s="7"/>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c r="A93" s="7"/>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c r="A94" s="7"/>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c r="A95" s="7"/>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c r="A96" s="7"/>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c r="A97" s="7"/>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c r="A98" s="7"/>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c r="A99" s="7"/>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c r="A100" s="7"/>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c r="A101" s="7"/>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c r="A102" s="7"/>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c r="A103" s="7"/>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c r="A104" s="7"/>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c r="A105" s="7"/>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row>
    <row r="106">
      <c r="A106" s="7"/>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row>
    <row r="107">
      <c r="A107" s="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row>
    <row r="108">
      <c r="A108" s="7"/>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row>
    <row r="109">
      <c r="A109" s="7"/>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row>
    <row r="110">
      <c r="A110" s="7"/>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row>
    <row r="111">
      <c r="A111" s="7"/>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row>
    <row r="112">
      <c r="A112" s="7"/>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row>
    <row r="113">
      <c r="A113" s="7"/>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row>
    <row r="114">
      <c r="A114" s="7"/>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row>
    <row r="115">
      <c r="A115" s="7"/>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row>
    <row r="116">
      <c r="A116" s="7"/>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row>
    <row r="117">
      <c r="A117" s="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row>
    <row r="118">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row>
    <row r="119">
      <c r="A119" s="7"/>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row>
    <row r="120">
      <c r="A120" s="7"/>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row>
    <row r="121">
      <c r="A121" s="7"/>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row>
    <row r="122">
      <c r="A122" s="7"/>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row>
    <row r="123">
      <c r="A123" s="7"/>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row>
    <row r="124">
      <c r="A124" s="7"/>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row>
    <row r="125">
      <c r="A125" s="7"/>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row>
    <row r="126">
      <c r="A126" s="7"/>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row>
    <row r="127">
      <c r="A127" s="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row>
    <row r="128">
      <c r="A128" s="7"/>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row>
    <row r="129">
      <c r="A129" s="7"/>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row>
    <row r="130">
      <c r="A130" s="7"/>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row>
    <row r="131">
      <c r="A131" s="7"/>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row>
    <row r="132">
      <c r="A132" s="7"/>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row>
    <row r="133">
      <c r="A133" s="7"/>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row>
    <row r="134">
      <c r="A134" s="7"/>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row>
    <row r="135">
      <c r="A135" s="7"/>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row>
    <row r="136">
      <c r="A136" s="7"/>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row>
    <row r="137">
      <c r="A137" s="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row>
    <row r="138">
      <c r="A138" s="7"/>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row>
    <row r="139">
      <c r="A139" s="7"/>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row>
    <row r="140">
      <c r="A140" s="7"/>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row>
    <row r="141">
      <c r="A141" s="7"/>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row>
    <row r="142">
      <c r="A142" s="7"/>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row>
    <row r="143">
      <c r="A143" s="7"/>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row>
    <row r="144">
      <c r="A144" s="7"/>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row>
    <row r="145">
      <c r="A145" s="7"/>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row>
    <row r="146">
      <c r="A146" s="7"/>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row>
    <row r="147">
      <c r="A147" s="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row>
    <row r="148">
      <c r="A148" s="7"/>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row>
    <row r="149">
      <c r="A149" s="7"/>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row>
    <row r="150">
      <c r="A150" s="7"/>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row>
    <row r="151">
      <c r="A151" s="7"/>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row>
    <row r="152">
      <c r="A152" s="7"/>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row>
    <row r="153">
      <c r="A153" s="7"/>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row>
    <row r="154">
      <c r="A154" s="7"/>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row>
    <row r="155">
      <c r="A155" s="7"/>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row>
    <row r="156">
      <c r="A156" s="7"/>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row>
    <row r="157">
      <c r="A157" s="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row>
    <row r="158">
      <c r="A158" s="7"/>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row>
    <row r="159">
      <c r="A159" s="7"/>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row>
    <row r="160">
      <c r="A160" s="7"/>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row>
    <row r="161">
      <c r="A161" s="7"/>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row>
    <row r="162">
      <c r="A162" s="7"/>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row>
    <row r="163">
      <c r="A163" s="7"/>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row>
    <row r="164">
      <c r="A164" s="7"/>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row>
    <row r="165">
      <c r="A165" s="7"/>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row>
    <row r="166">
      <c r="A166" s="7"/>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row>
    <row r="167">
      <c r="A167" s="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row>
    <row r="168">
      <c r="A168" s="7"/>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row>
    <row r="169">
      <c r="A169" s="7"/>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row>
    <row r="170">
      <c r="A170" s="7"/>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row>
    <row r="171">
      <c r="A171" s="7"/>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row>
    <row r="172">
      <c r="A172" s="7"/>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row>
    <row r="173">
      <c r="A173" s="7"/>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row>
    <row r="174">
      <c r="A174" s="7"/>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row>
    <row r="175">
      <c r="A175" s="7"/>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row>
    <row r="176">
      <c r="A176" s="7"/>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row>
    <row r="177">
      <c r="A177" s="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row>
    <row r="178">
      <c r="A178" s="7"/>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row>
    <row r="179">
      <c r="A179" s="7"/>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row>
    <row r="180">
      <c r="A180" s="7"/>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row>
    <row r="181">
      <c r="A181" s="7"/>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row>
    <row r="182">
      <c r="A182" s="7"/>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row>
    <row r="183">
      <c r="A183" s="7"/>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row>
    <row r="184">
      <c r="A184" s="7"/>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row>
    <row r="185">
      <c r="A185" s="7"/>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row>
    <row r="186">
      <c r="A186" s="7"/>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row>
    <row r="187">
      <c r="A187" s="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row>
    <row r="188">
      <c r="A188" s="7"/>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row>
    <row r="189">
      <c r="A189" s="7"/>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row>
    <row r="190">
      <c r="A190" s="7"/>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row>
    <row r="191">
      <c r="A191" s="7"/>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row>
    <row r="192">
      <c r="A192" s="7"/>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row>
    <row r="193">
      <c r="A193" s="7"/>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row>
    <row r="194">
      <c r="A194" s="7"/>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row>
    <row r="195">
      <c r="A195" s="7"/>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row>
    <row r="196">
      <c r="A196" s="7"/>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row>
    <row r="197">
      <c r="A197" s="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row>
    <row r="198">
      <c r="A198" s="7"/>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row>
    <row r="199">
      <c r="A199" s="7"/>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row>
    <row r="200">
      <c r="A200" s="7"/>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row>
    <row r="201">
      <c r="A201" s="7"/>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row>
    <row r="202">
      <c r="A202" s="7"/>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row>
    <row r="203">
      <c r="A203" s="7"/>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row>
    <row r="204">
      <c r="A204" s="7"/>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row>
    <row r="205">
      <c r="A205" s="7"/>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row>
    <row r="206">
      <c r="A206" s="7"/>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row>
    <row r="207">
      <c r="A207" s="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row>
    <row r="208">
      <c r="A208" s="7"/>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row>
    <row r="209">
      <c r="A209" s="7"/>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row>
    <row r="210">
      <c r="A210" s="7"/>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row>
    <row r="211">
      <c r="A211" s="7"/>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row>
    <row r="212">
      <c r="A212" s="7"/>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row>
    <row r="213">
      <c r="A213" s="7"/>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row>
    <row r="214">
      <c r="A214" s="7"/>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row>
    <row r="215">
      <c r="A215" s="7"/>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row>
    <row r="216">
      <c r="A216" s="7"/>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row>
    <row r="217">
      <c r="A217" s="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row>
    <row r="218">
      <c r="A218" s="7"/>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row>
    <row r="219">
      <c r="A219" s="7"/>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row>
    <row r="220">
      <c r="A220" s="7"/>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row>
    <row r="221">
      <c r="A221" s="7"/>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row>
    <row r="222">
      <c r="A222" s="7"/>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row>
    <row r="223">
      <c r="A223" s="7"/>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row>
    <row r="224">
      <c r="A224" s="7"/>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row>
    <row r="225">
      <c r="A225" s="7"/>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row>
    <row r="226">
      <c r="A226" s="7"/>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row>
    <row r="227">
      <c r="A227" s="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row>
    <row r="228">
      <c r="A228" s="7"/>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row>
    <row r="229">
      <c r="A229" s="7"/>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row>
    <row r="230">
      <c r="A230" s="7"/>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row>
    <row r="231">
      <c r="A231" s="7"/>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row>
    <row r="232">
      <c r="A232" s="7"/>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row>
    <row r="233">
      <c r="A233" s="7"/>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row>
    <row r="234">
      <c r="A234" s="7"/>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row>
    <row r="235">
      <c r="A235" s="7"/>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row>
    <row r="236">
      <c r="A236" s="7"/>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row>
    <row r="237">
      <c r="A237" s="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row>
    <row r="238">
      <c r="A238" s="7"/>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row>
    <row r="239">
      <c r="A239" s="7"/>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row>
    <row r="240">
      <c r="A240" s="7"/>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row>
    <row r="241">
      <c r="A241" s="7"/>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row>
    <row r="242">
      <c r="A242" s="7"/>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row>
    <row r="243">
      <c r="A243" s="7"/>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row>
    <row r="244">
      <c r="A244" s="7"/>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row>
    <row r="245">
      <c r="A245" s="7"/>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row>
    <row r="246">
      <c r="A246" s="7"/>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row>
    <row r="247">
      <c r="A247" s="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row>
    <row r="248">
      <c r="A248" s="7"/>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row>
    <row r="249">
      <c r="A249" s="7"/>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row>
    <row r="250">
      <c r="A250" s="7"/>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row>
    <row r="251">
      <c r="A251" s="7"/>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row>
    <row r="252">
      <c r="A252" s="7"/>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row>
    <row r="253">
      <c r="A253" s="7"/>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row>
    <row r="254">
      <c r="A254" s="7"/>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row>
    <row r="255">
      <c r="A255" s="7"/>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row>
    <row r="256">
      <c r="A256" s="7"/>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row>
    <row r="257">
      <c r="A257" s="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row>
    <row r="258">
      <c r="A258" s="7"/>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row>
    <row r="259">
      <c r="A259" s="7"/>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row>
    <row r="260">
      <c r="A260" s="7"/>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row>
    <row r="261">
      <c r="A261" s="7"/>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row>
    <row r="262">
      <c r="A262" s="7"/>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row>
    <row r="263">
      <c r="A263" s="7"/>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row>
    <row r="264">
      <c r="A264" s="7"/>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row>
    <row r="265">
      <c r="A265" s="7"/>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row>
    <row r="266">
      <c r="A266" s="7"/>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row>
    <row r="267">
      <c r="A267" s="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row>
    <row r="268">
      <c r="A268" s="7"/>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row>
    <row r="269">
      <c r="A269" s="7"/>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row>
    <row r="270">
      <c r="A270" s="7"/>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row>
    <row r="271">
      <c r="A271" s="7"/>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row>
    <row r="272">
      <c r="A272" s="7"/>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row>
    <row r="273">
      <c r="A273" s="7"/>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row>
    <row r="274">
      <c r="A274" s="7"/>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row>
    <row r="275">
      <c r="A275" s="7"/>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c r="A276" s="7"/>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c r="A277" s="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c r="A278" s="7"/>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c r="A279" s="7"/>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c r="A280" s="7"/>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row>
    <row r="281">
      <c r="A281" s="7"/>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row>
    <row r="282">
      <c r="A282" s="7"/>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row>
    <row r="283">
      <c r="A283" s="7"/>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row>
    <row r="284">
      <c r="A284" s="7"/>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row>
    <row r="285">
      <c r="A285" s="7"/>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row>
    <row r="286">
      <c r="A286" s="7"/>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row>
    <row r="287">
      <c r="A287" s="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row>
    <row r="288">
      <c r="A288" s="7"/>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row>
    <row r="289">
      <c r="A289" s="7"/>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row>
    <row r="290">
      <c r="A290" s="7"/>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row>
    <row r="291">
      <c r="A291" s="7"/>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row>
    <row r="292">
      <c r="A292" s="7"/>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row>
    <row r="293">
      <c r="A293" s="7"/>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row>
    <row r="294">
      <c r="A294" s="7"/>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row>
    <row r="295">
      <c r="A295" s="7"/>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row>
    <row r="296">
      <c r="A296" s="7"/>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row>
    <row r="297">
      <c r="A297" s="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row>
    <row r="298">
      <c r="A298" s="7"/>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row>
    <row r="299">
      <c r="A299" s="7"/>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row>
    <row r="300">
      <c r="A300" s="7"/>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row>
    <row r="301">
      <c r="A301" s="7"/>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row>
    <row r="302">
      <c r="A302" s="7"/>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row>
    <row r="303">
      <c r="A303" s="7"/>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row>
    <row r="304">
      <c r="A304" s="7"/>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row>
    <row r="305">
      <c r="A305" s="7"/>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row>
    <row r="306">
      <c r="A306" s="7"/>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row>
    <row r="307">
      <c r="A307" s="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row>
    <row r="308">
      <c r="A308" s="7"/>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row>
    <row r="309">
      <c r="A309" s="7"/>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row>
    <row r="310">
      <c r="A310" s="7"/>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row>
    <row r="311">
      <c r="A311" s="7"/>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row>
    <row r="312">
      <c r="A312" s="7"/>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row>
    <row r="313">
      <c r="A313" s="7"/>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row>
    <row r="314">
      <c r="A314" s="7"/>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row>
    <row r="315">
      <c r="A315" s="7"/>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row>
    <row r="316">
      <c r="A316" s="7"/>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row>
    <row r="317">
      <c r="A317" s="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row>
    <row r="318">
      <c r="A318" s="7"/>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row>
    <row r="319">
      <c r="A319" s="7"/>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row>
    <row r="320">
      <c r="A320" s="7"/>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row>
    <row r="321">
      <c r="A321" s="7"/>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row>
    <row r="322">
      <c r="A322" s="7"/>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row>
    <row r="323">
      <c r="A323" s="7"/>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row>
    <row r="324">
      <c r="A324" s="7"/>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c r="A325" s="7"/>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c r="A326" s="7"/>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c r="A327" s="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c r="A328" s="7"/>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c r="A329" s="7"/>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c r="A330" s="7"/>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row>
    <row r="331">
      <c r="A331" s="7"/>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row>
    <row r="332">
      <c r="A332" s="7"/>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row>
    <row r="333">
      <c r="A333" s="7"/>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row>
    <row r="334">
      <c r="A334" s="7"/>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row>
    <row r="335">
      <c r="A335" s="7"/>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row>
    <row r="336">
      <c r="A336" s="7"/>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row>
    <row r="337">
      <c r="A337" s="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row>
    <row r="338">
      <c r="A338" s="7"/>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row>
    <row r="339">
      <c r="A339" s="7"/>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row>
    <row r="340">
      <c r="A340" s="7"/>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row>
    <row r="341">
      <c r="A341" s="7"/>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row>
    <row r="342">
      <c r="A342" s="7"/>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row>
    <row r="343">
      <c r="A343" s="7"/>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c r="A344" s="7"/>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c r="A345" s="7"/>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c r="A346" s="7"/>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c r="A347" s="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c r="A348" s="7"/>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c r="A349" s="7"/>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c r="A350" s="7"/>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c r="A351" s="7"/>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c r="A352" s="7"/>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row>
    <row r="353">
      <c r="A353" s="7"/>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row>
    <row r="354">
      <c r="A354" s="7"/>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row>
    <row r="355">
      <c r="A355" s="7"/>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row>
    <row r="356">
      <c r="A356" s="7"/>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row>
    <row r="357">
      <c r="A357" s="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row>
    <row r="358">
      <c r="A358" s="7"/>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row>
    <row r="359">
      <c r="A359" s="7"/>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row>
    <row r="360">
      <c r="A360" s="7"/>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row>
    <row r="361">
      <c r="A361" s="7"/>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row>
    <row r="362">
      <c r="A362" s="7"/>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row>
    <row r="363">
      <c r="A363" s="7"/>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row>
    <row r="364">
      <c r="A364" s="7"/>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row>
    <row r="365">
      <c r="A365" s="7"/>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row>
    <row r="366">
      <c r="A366" s="7"/>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row>
    <row r="367">
      <c r="A367" s="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row>
    <row r="368">
      <c r="A368" s="7"/>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row>
    <row r="369">
      <c r="A369" s="7"/>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row>
    <row r="370">
      <c r="A370" s="7"/>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row>
    <row r="371">
      <c r="A371" s="7"/>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row>
    <row r="372">
      <c r="A372" s="7"/>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row>
    <row r="373">
      <c r="A373" s="7"/>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row>
    <row r="374">
      <c r="A374" s="7"/>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row>
    <row r="375">
      <c r="A375" s="7"/>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row>
    <row r="376">
      <c r="A376" s="7"/>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row>
    <row r="377">
      <c r="A377" s="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row>
    <row r="378">
      <c r="A378" s="7"/>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row>
    <row r="379">
      <c r="A379" s="7"/>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row>
    <row r="380">
      <c r="A380" s="7"/>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row>
    <row r="381">
      <c r="A381" s="7"/>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row>
    <row r="382">
      <c r="A382" s="7"/>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row>
    <row r="383">
      <c r="A383" s="7"/>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row>
    <row r="384">
      <c r="A384" s="7"/>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row>
    <row r="385">
      <c r="A385" s="7"/>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row>
    <row r="386">
      <c r="A386" s="7"/>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row>
    <row r="387">
      <c r="A387" s="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row>
    <row r="388">
      <c r="A388" s="7"/>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row>
    <row r="389">
      <c r="A389" s="7"/>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row>
    <row r="390">
      <c r="A390" s="7"/>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row>
    <row r="391">
      <c r="A391" s="7"/>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row>
    <row r="392">
      <c r="A392" s="7"/>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row>
    <row r="393">
      <c r="A393" s="7"/>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row>
    <row r="394">
      <c r="A394" s="7"/>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row>
    <row r="395">
      <c r="A395" s="7"/>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row>
    <row r="396">
      <c r="A396" s="7"/>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row>
    <row r="397">
      <c r="A397" s="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row>
    <row r="398">
      <c r="A398" s="7"/>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row>
    <row r="399">
      <c r="A399" s="7"/>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row>
    <row r="400">
      <c r="A400" s="7"/>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row>
    <row r="401">
      <c r="A401" s="7"/>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row>
    <row r="402">
      <c r="A402" s="7"/>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row>
    <row r="403">
      <c r="A403" s="7"/>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row>
    <row r="404">
      <c r="A404" s="7"/>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row>
    <row r="405">
      <c r="A405" s="7"/>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row>
    <row r="406">
      <c r="A406" s="7"/>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row>
    <row r="407">
      <c r="A407" s="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row>
    <row r="408">
      <c r="A408" s="7"/>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row>
    <row r="409">
      <c r="A409" s="7"/>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row>
    <row r="410">
      <c r="A410" s="7"/>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row>
    <row r="411">
      <c r="A411" s="7"/>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row>
    <row r="412">
      <c r="A412" s="7"/>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row>
    <row r="413">
      <c r="A413" s="7"/>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row>
    <row r="414">
      <c r="A414" s="7"/>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row>
    <row r="415">
      <c r="A415" s="7"/>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row>
    <row r="416">
      <c r="A416" s="7"/>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row>
    <row r="417">
      <c r="A417" s="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row>
    <row r="418">
      <c r="A418" s="7"/>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row>
    <row r="419">
      <c r="A419" s="7"/>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row>
    <row r="420">
      <c r="A420" s="7"/>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row>
    <row r="421">
      <c r="A421" s="7"/>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row>
    <row r="422">
      <c r="A422" s="7"/>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row>
    <row r="423">
      <c r="A423" s="7"/>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row>
    <row r="424">
      <c r="A424" s="7"/>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row>
    <row r="425">
      <c r="A425" s="7"/>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row>
    <row r="426">
      <c r="A426" s="7"/>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row>
    <row r="427">
      <c r="A427" s="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row>
    <row r="428">
      <c r="A428" s="7"/>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row>
    <row r="429">
      <c r="A429" s="7"/>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row>
    <row r="430">
      <c r="A430" s="7"/>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row>
    <row r="431">
      <c r="A431" s="7"/>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row>
    <row r="432">
      <c r="A432" s="7"/>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row>
    <row r="433">
      <c r="A433" s="7"/>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row>
    <row r="434">
      <c r="A434" s="7"/>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row>
    <row r="435">
      <c r="A435" s="7"/>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row>
    <row r="436">
      <c r="A436" s="7"/>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row>
    <row r="437">
      <c r="A437" s="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row>
    <row r="438">
      <c r="A438" s="7"/>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row>
    <row r="439">
      <c r="A439" s="7"/>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row>
    <row r="440">
      <c r="A440" s="7"/>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row>
    <row r="441">
      <c r="A441" s="7"/>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row>
    <row r="442">
      <c r="A442" s="7"/>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row>
    <row r="443">
      <c r="A443" s="7"/>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row>
    <row r="444">
      <c r="A444" s="7"/>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row>
    <row r="445">
      <c r="A445" s="7"/>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row>
    <row r="446">
      <c r="A446" s="7"/>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row>
    <row r="447">
      <c r="A447" s="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row>
    <row r="448">
      <c r="A448" s="7"/>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row>
    <row r="449">
      <c r="A449" s="7"/>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row>
    <row r="450">
      <c r="A450" s="7"/>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row>
    <row r="451">
      <c r="A451" s="7"/>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row>
    <row r="452">
      <c r="A452" s="7"/>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row>
    <row r="453">
      <c r="A453" s="7"/>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row>
    <row r="454">
      <c r="A454" s="7"/>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row>
    <row r="455">
      <c r="A455" s="7"/>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row>
    <row r="456">
      <c r="A456" s="7"/>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row>
    <row r="457">
      <c r="A457" s="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row>
    <row r="458">
      <c r="A458" s="7"/>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row>
    <row r="459">
      <c r="A459" s="7"/>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row>
    <row r="460">
      <c r="A460" s="7"/>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row>
    <row r="461">
      <c r="A461" s="7"/>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row>
    <row r="462">
      <c r="A462" s="7"/>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row>
    <row r="463">
      <c r="A463" s="7"/>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row>
    <row r="464">
      <c r="A464" s="7"/>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row>
    <row r="465">
      <c r="A465" s="7"/>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row>
    <row r="466">
      <c r="A466" s="7"/>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row>
    <row r="467">
      <c r="A467" s="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row>
    <row r="468">
      <c r="A468" s="7"/>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row>
    <row r="469">
      <c r="A469" s="7"/>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row>
    <row r="470">
      <c r="A470" s="7"/>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row>
    <row r="471">
      <c r="A471" s="7"/>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row>
    <row r="472">
      <c r="A472" s="7"/>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row>
    <row r="473">
      <c r="A473" s="7"/>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row>
    <row r="474">
      <c r="A474" s="7"/>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row>
    <row r="475">
      <c r="A475" s="7"/>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row>
    <row r="476">
      <c r="A476" s="7"/>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row>
    <row r="477">
      <c r="A477" s="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row>
    <row r="478">
      <c r="A478" s="7"/>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row>
    <row r="479">
      <c r="A479" s="7"/>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row>
    <row r="480">
      <c r="A480" s="7"/>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row>
    <row r="481">
      <c r="A481" s="7"/>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row>
    <row r="482">
      <c r="A482" s="7"/>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row>
    <row r="483">
      <c r="A483" s="7"/>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row>
    <row r="484">
      <c r="A484" s="7"/>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row>
    <row r="485">
      <c r="A485" s="7"/>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row>
    <row r="486">
      <c r="A486" s="7"/>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row>
    <row r="487">
      <c r="A487" s="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row>
    <row r="488">
      <c r="A488" s="7"/>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row>
    <row r="489">
      <c r="A489" s="7"/>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row>
    <row r="490">
      <c r="A490" s="7"/>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row>
    <row r="491">
      <c r="A491" s="7"/>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row>
    <row r="492">
      <c r="A492" s="7"/>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row>
    <row r="493">
      <c r="A493" s="7"/>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row>
    <row r="494">
      <c r="A494" s="7"/>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row>
    <row r="495">
      <c r="A495" s="7"/>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row>
    <row r="496">
      <c r="A496" s="7"/>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row>
    <row r="497">
      <c r="A497" s="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row>
    <row r="498">
      <c r="A498" s="7"/>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row>
    <row r="499">
      <c r="A499" s="7"/>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row>
    <row r="500">
      <c r="A500" s="7"/>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row>
    <row r="501">
      <c r="A501" s="7"/>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row>
    <row r="502">
      <c r="A502" s="7"/>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row>
    <row r="503">
      <c r="A503" s="7"/>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row>
    <row r="504">
      <c r="A504" s="7"/>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row>
    <row r="505">
      <c r="A505" s="7"/>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row>
    <row r="506">
      <c r="A506" s="7"/>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row>
    <row r="507">
      <c r="A507" s="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row>
    <row r="508">
      <c r="A508" s="7"/>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row>
    <row r="509">
      <c r="A509" s="7"/>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row>
    <row r="510">
      <c r="A510" s="7"/>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row>
    <row r="511">
      <c r="A511" s="7"/>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row>
    <row r="512">
      <c r="A512" s="7"/>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row>
    <row r="513">
      <c r="A513" s="7"/>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row>
    <row r="514">
      <c r="A514" s="7"/>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row>
    <row r="515">
      <c r="A515" s="7"/>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row>
    <row r="516">
      <c r="A516" s="7"/>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row>
    <row r="517">
      <c r="A517" s="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row>
    <row r="518">
      <c r="A518" s="7"/>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row>
    <row r="519">
      <c r="A519" s="7"/>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row>
    <row r="520">
      <c r="A520" s="7"/>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row>
    <row r="521">
      <c r="A521" s="7"/>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row>
    <row r="522">
      <c r="A522" s="7"/>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row>
    <row r="523">
      <c r="A523" s="7"/>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row>
    <row r="524">
      <c r="A524" s="7"/>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row>
    <row r="525">
      <c r="A525" s="7"/>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row>
    <row r="526">
      <c r="A526" s="7"/>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row>
    <row r="527">
      <c r="A527" s="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row>
    <row r="528">
      <c r="A528" s="7"/>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row>
    <row r="529">
      <c r="A529" s="7"/>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row>
    <row r="530">
      <c r="A530" s="7"/>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row>
    <row r="531">
      <c r="A531" s="7"/>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row>
    <row r="532">
      <c r="A532" s="7"/>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row>
    <row r="533">
      <c r="A533" s="7"/>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row>
    <row r="534">
      <c r="A534" s="7"/>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row>
    <row r="535">
      <c r="A535" s="7"/>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row>
    <row r="536">
      <c r="A536" s="7"/>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row>
    <row r="537">
      <c r="A537" s="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row>
    <row r="538">
      <c r="A538" s="7"/>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row>
    <row r="539">
      <c r="A539" s="7"/>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row>
    <row r="540">
      <c r="A540" s="7"/>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row>
    <row r="541">
      <c r="A541" s="7"/>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row>
    <row r="542">
      <c r="A542" s="7"/>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row>
    <row r="543">
      <c r="A543" s="7"/>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row>
    <row r="544">
      <c r="A544" s="7"/>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row>
    <row r="545">
      <c r="A545" s="7"/>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row>
    <row r="546">
      <c r="A546" s="7"/>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row>
    <row r="547">
      <c r="A547" s="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row>
    <row r="548">
      <c r="A548" s="7"/>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row>
    <row r="549">
      <c r="A549" s="7"/>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row>
    <row r="550">
      <c r="A550" s="7"/>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row>
    <row r="551">
      <c r="A551" s="7"/>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row>
    <row r="552">
      <c r="A552" s="7"/>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row>
    <row r="553">
      <c r="A553" s="7"/>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row>
    <row r="554">
      <c r="A554" s="7"/>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row>
    <row r="555">
      <c r="A555" s="7"/>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row>
    <row r="556">
      <c r="A556" s="7"/>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row>
    <row r="557">
      <c r="A557" s="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row>
    <row r="558">
      <c r="A558" s="7"/>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row>
    <row r="559">
      <c r="A559" s="7"/>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row>
    <row r="560">
      <c r="A560" s="7"/>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row>
    <row r="561">
      <c r="A561" s="7"/>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row>
    <row r="562">
      <c r="A562" s="7"/>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row>
    <row r="563">
      <c r="A563" s="7"/>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row>
    <row r="564">
      <c r="A564" s="7"/>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row>
    <row r="565">
      <c r="A565" s="7"/>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row>
    <row r="566">
      <c r="A566" s="7"/>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row>
    <row r="567">
      <c r="A567" s="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row>
    <row r="568">
      <c r="A568" s="7"/>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row>
    <row r="569">
      <c r="A569" s="7"/>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row>
    <row r="570">
      <c r="A570" s="7"/>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row>
    <row r="571">
      <c r="A571" s="7"/>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row>
    <row r="572">
      <c r="A572" s="7"/>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row>
    <row r="573">
      <c r="A573" s="7"/>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row>
    <row r="574">
      <c r="A574" s="7"/>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row>
    <row r="575">
      <c r="A575" s="7"/>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row>
    <row r="576">
      <c r="A576" s="7"/>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row>
    <row r="577">
      <c r="A577" s="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row>
    <row r="578">
      <c r="A578" s="7"/>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row>
    <row r="579">
      <c r="A579" s="7"/>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row>
    <row r="580">
      <c r="A580" s="7"/>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row>
    <row r="581">
      <c r="A581" s="7"/>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row>
    <row r="582">
      <c r="A582" s="7"/>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row>
    <row r="583">
      <c r="A583" s="7"/>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row>
    <row r="584">
      <c r="A584" s="7"/>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row>
    <row r="585">
      <c r="A585" s="7"/>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row>
    <row r="586">
      <c r="A586" s="7"/>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row>
    <row r="587">
      <c r="A587" s="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row>
    <row r="588">
      <c r="A588" s="7"/>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row>
    <row r="589">
      <c r="A589" s="7"/>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row>
    <row r="590">
      <c r="A590" s="7"/>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row>
    <row r="591">
      <c r="A591" s="7"/>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row>
    <row r="592">
      <c r="A592" s="7"/>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row>
    <row r="593">
      <c r="A593" s="7"/>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row>
    <row r="594">
      <c r="A594" s="7"/>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row>
    <row r="595">
      <c r="A595" s="7"/>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row>
    <row r="596">
      <c r="A596" s="7"/>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row>
    <row r="597">
      <c r="A597" s="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row>
    <row r="598">
      <c r="A598" s="7"/>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row>
    <row r="599">
      <c r="A599" s="7"/>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row>
    <row r="600">
      <c r="A600" s="7"/>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row>
    <row r="601">
      <c r="A601" s="7"/>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row>
    <row r="602">
      <c r="A602" s="7"/>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row>
    <row r="603">
      <c r="A603" s="7"/>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row>
    <row r="604">
      <c r="A604" s="7"/>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row>
    <row r="605">
      <c r="A605" s="7"/>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row>
    <row r="606">
      <c r="A606" s="7"/>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row>
    <row r="607">
      <c r="A607" s="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row>
    <row r="608">
      <c r="A608" s="7"/>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row>
    <row r="609">
      <c r="A609" s="7"/>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row>
    <row r="610">
      <c r="A610" s="7"/>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row>
    <row r="611">
      <c r="A611" s="7"/>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row>
    <row r="612">
      <c r="A612" s="7"/>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row>
    <row r="613">
      <c r="A613" s="7"/>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row>
    <row r="614">
      <c r="A614" s="7"/>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row>
    <row r="615">
      <c r="A615" s="7"/>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row>
    <row r="616">
      <c r="A616" s="7"/>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row>
    <row r="617">
      <c r="A617" s="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row>
    <row r="618">
      <c r="A618" s="7"/>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row>
    <row r="619">
      <c r="A619" s="7"/>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row>
    <row r="620">
      <c r="A620" s="7"/>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row>
    <row r="621">
      <c r="A621" s="7"/>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row>
    <row r="622">
      <c r="A622" s="7"/>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row>
    <row r="623">
      <c r="A623" s="7"/>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row>
    <row r="624">
      <c r="A624" s="7"/>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row>
    <row r="625">
      <c r="A625" s="7"/>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row>
    <row r="626">
      <c r="A626" s="7"/>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row>
    <row r="627">
      <c r="A627" s="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row>
    <row r="628">
      <c r="A628" s="7"/>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row>
    <row r="629">
      <c r="A629" s="7"/>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row>
    <row r="630">
      <c r="A630" s="7"/>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row>
    <row r="631">
      <c r="A631" s="7"/>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row>
    <row r="632">
      <c r="A632" s="7"/>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row>
    <row r="633">
      <c r="A633" s="7"/>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row>
    <row r="634">
      <c r="A634" s="7"/>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row>
    <row r="635">
      <c r="A635" s="7"/>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row>
    <row r="636">
      <c r="A636" s="7"/>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row>
    <row r="637">
      <c r="A637" s="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row>
    <row r="638">
      <c r="A638" s="7"/>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row>
    <row r="639">
      <c r="A639" s="7"/>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row>
    <row r="640">
      <c r="A640" s="7"/>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row>
    <row r="641">
      <c r="A641" s="7"/>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row>
    <row r="642">
      <c r="A642" s="7"/>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row>
    <row r="643">
      <c r="A643" s="7"/>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row>
    <row r="644">
      <c r="A644" s="7"/>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row>
    <row r="645">
      <c r="A645" s="7"/>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row>
    <row r="646">
      <c r="A646" s="7"/>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row>
    <row r="647">
      <c r="A647" s="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row>
    <row r="648">
      <c r="A648" s="7"/>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row>
    <row r="649">
      <c r="A649" s="7"/>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row>
    <row r="650">
      <c r="A650" s="7"/>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row>
    <row r="651">
      <c r="A651" s="7"/>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row>
    <row r="652">
      <c r="A652" s="7"/>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row>
    <row r="653">
      <c r="A653" s="7"/>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row>
    <row r="654">
      <c r="A654" s="7"/>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row>
    <row r="655">
      <c r="A655" s="7"/>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row>
    <row r="656">
      <c r="A656" s="7"/>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row>
    <row r="657">
      <c r="A657" s="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row>
    <row r="658">
      <c r="A658" s="7"/>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row>
    <row r="659">
      <c r="A659" s="7"/>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row>
    <row r="660">
      <c r="A660" s="7"/>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row>
    <row r="661">
      <c r="A661" s="7"/>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row>
    <row r="662">
      <c r="A662" s="7"/>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row>
    <row r="663">
      <c r="A663" s="7"/>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row>
    <row r="664">
      <c r="A664" s="7"/>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row>
    <row r="665">
      <c r="A665" s="7"/>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row>
    <row r="666">
      <c r="A666" s="7"/>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row>
    <row r="667">
      <c r="A667" s="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row>
    <row r="668">
      <c r="A668" s="7"/>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row>
    <row r="669">
      <c r="A669" s="7"/>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row>
    <row r="670">
      <c r="A670" s="7"/>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row>
    <row r="671">
      <c r="A671" s="7"/>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row>
    <row r="672">
      <c r="A672" s="7"/>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row>
    <row r="673">
      <c r="A673" s="7"/>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row>
    <row r="674">
      <c r="A674" s="7"/>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row>
    <row r="675">
      <c r="A675" s="7"/>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row>
    <row r="676">
      <c r="A676" s="7"/>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row>
    <row r="677">
      <c r="A677" s="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row>
    <row r="678">
      <c r="A678" s="7"/>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row>
    <row r="679">
      <c r="A679" s="7"/>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row>
    <row r="680">
      <c r="A680" s="7"/>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row>
    <row r="681">
      <c r="A681" s="7"/>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row>
    <row r="682">
      <c r="A682" s="7"/>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row>
    <row r="683">
      <c r="A683" s="7"/>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row>
    <row r="684">
      <c r="A684" s="7"/>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row>
    <row r="685">
      <c r="A685" s="7"/>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row>
    <row r="686">
      <c r="A686" s="7"/>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row>
    <row r="687">
      <c r="A687" s="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row>
    <row r="688">
      <c r="A688" s="7"/>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row>
    <row r="689">
      <c r="A689" s="7"/>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row>
    <row r="690">
      <c r="A690" s="7"/>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row>
    <row r="691">
      <c r="A691" s="7"/>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row>
    <row r="692">
      <c r="A692" s="7"/>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row>
    <row r="693">
      <c r="A693" s="7"/>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row>
    <row r="694">
      <c r="A694" s="7"/>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row>
    <row r="695">
      <c r="A695" s="7"/>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row>
    <row r="696">
      <c r="A696" s="7"/>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row>
    <row r="697">
      <c r="A697" s="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row>
    <row r="698">
      <c r="A698" s="7"/>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row>
    <row r="699">
      <c r="A699" s="7"/>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row>
    <row r="700">
      <c r="A700" s="7"/>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row>
    <row r="701">
      <c r="A701" s="7"/>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row>
    <row r="702">
      <c r="A702" s="7"/>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row>
    <row r="703">
      <c r="A703" s="7"/>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row>
    <row r="704">
      <c r="A704" s="7"/>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row>
    <row r="705">
      <c r="A705" s="7"/>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row>
    <row r="706">
      <c r="A706" s="7"/>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row>
    <row r="707">
      <c r="A707" s="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row>
    <row r="708">
      <c r="A708" s="7"/>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row>
    <row r="709">
      <c r="A709" s="7"/>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row>
    <row r="710">
      <c r="A710" s="7"/>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row>
    <row r="711">
      <c r="A711" s="7"/>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row>
    <row r="712">
      <c r="A712" s="7"/>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row>
    <row r="713">
      <c r="A713" s="7"/>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row>
    <row r="714">
      <c r="A714" s="7"/>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row>
    <row r="715">
      <c r="A715" s="7"/>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row>
    <row r="716">
      <c r="A716" s="7"/>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row>
    <row r="717">
      <c r="A717" s="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row>
    <row r="718">
      <c r="A718" s="7"/>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row>
    <row r="719">
      <c r="A719" s="7"/>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row>
    <row r="720">
      <c r="A720" s="7"/>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row>
    <row r="721">
      <c r="A721" s="7"/>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row>
    <row r="722">
      <c r="A722" s="7"/>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row>
    <row r="723">
      <c r="A723" s="7"/>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row>
    <row r="724">
      <c r="A724" s="7"/>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row>
    <row r="725">
      <c r="A725" s="7"/>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row>
    <row r="726">
      <c r="A726" s="7"/>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row>
    <row r="727">
      <c r="A727" s="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row>
    <row r="728">
      <c r="A728" s="7"/>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row>
    <row r="729">
      <c r="A729" s="7"/>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row>
    <row r="730">
      <c r="A730" s="7"/>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row>
    <row r="731">
      <c r="A731" s="7"/>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row>
    <row r="732">
      <c r="A732" s="7"/>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row>
    <row r="733">
      <c r="A733" s="7"/>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row>
    <row r="734">
      <c r="A734" s="7"/>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row>
    <row r="735">
      <c r="A735" s="7"/>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row>
    <row r="736">
      <c r="A736" s="7"/>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row>
    <row r="737">
      <c r="A737" s="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row>
    <row r="738">
      <c r="A738" s="7"/>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row>
    <row r="739">
      <c r="A739" s="7"/>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row>
    <row r="740">
      <c r="A740" s="7"/>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row>
    <row r="741">
      <c r="A741" s="7"/>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row>
    <row r="742">
      <c r="A742" s="7"/>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row>
    <row r="743">
      <c r="A743" s="7"/>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row>
    <row r="744">
      <c r="A744" s="7"/>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row>
    <row r="745">
      <c r="A745" s="7"/>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row>
    <row r="746">
      <c r="A746" s="7"/>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row>
    <row r="747">
      <c r="A747" s="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row>
    <row r="748">
      <c r="A748" s="7"/>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row>
    <row r="749">
      <c r="A749" s="7"/>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row>
    <row r="750">
      <c r="A750" s="7"/>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row>
    <row r="751">
      <c r="A751" s="7"/>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row>
    <row r="752">
      <c r="A752" s="7"/>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row>
    <row r="753">
      <c r="A753" s="7"/>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row>
    <row r="754">
      <c r="A754" s="7"/>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row>
    <row r="755">
      <c r="A755" s="7"/>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row>
    <row r="756">
      <c r="A756" s="7"/>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row>
    <row r="757">
      <c r="A757" s="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row>
    <row r="758">
      <c r="A758" s="7"/>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row>
    <row r="759">
      <c r="A759" s="7"/>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row>
    <row r="760">
      <c r="A760" s="7"/>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row>
    <row r="761">
      <c r="A761" s="7"/>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row>
    <row r="762">
      <c r="A762" s="7"/>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row>
    <row r="763">
      <c r="A763" s="7"/>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row>
    <row r="764">
      <c r="A764" s="7"/>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row>
    <row r="765">
      <c r="A765" s="7"/>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row>
    <row r="766">
      <c r="A766" s="7"/>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row>
    <row r="767">
      <c r="A767" s="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row>
    <row r="768">
      <c r="A768" s="7"/>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row>
    <row r="769">
      <c r="A769" s="7"/>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row>
    <row r="770">
      <c r="A770" s="7"/>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row>
    <row r="771">
      <c r="A771" s="7"/>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row>
    <row r="772">
      <c r="A772" s="7"/>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row>
    <row r="773">
      <c r="A773" s="7"/>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row>
    <row r="774">
      <c r="A774" s="7"/>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row>
    <row r="775">
      <c r="A775" s="7"/>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row>
    <row r="776">
      <c r="A776" s="7"/>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row>
    <row r="777">
      <c r="A777" s="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row>
    <row r="778">
      <c r="A778" s="7"/>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row>
    <row r="779">
      <c r="A779" s="7"/>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row>
    <row r="780">
      <c r="A780" s="7"/>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row>
    <row r="781">
      <c r="A781" s="7"/>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row>
    <row r="782">
      <c r="A782" s="7"/>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row>
    <row r="783">
      <c r="A783" s="7"/>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row>
    <row r="784">
      <c r="A784" s="7"/>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row>
    <row r="785">
      <c r="A785" s="7"/>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row>
    <row r="786">
      <c r="A786" s="7"/>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row>
    <row r="787">
      <c r="A787" s="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row>
    <row r="788">
      <c r="A788" s="7"/>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row>
    <row r="789">
      <c r="A789" s="7"/>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row>
    <row r="790">
      <c r="A790" s="7"/>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row>
    <row r="791">
      <c r="A791" s="7"/>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row>
    <row r="792">
      <c r="A792" s="7"/>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row>
    <row r="793">
      <c r="A793" s="7"/>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row>
    <row r="794">
      <c r="A794" s="7"/>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row>
    <row r="795">
      <c r="A795" s="7"/>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row>
    <row r="796">
      <c r="A796" s="7"/>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row>
    <row r="797">
      <c r="A797" s="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row>
    <row r="798">
      <c r="A798" s="7"/>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row>
    <row r="799">
      <c r="A799" s="7"/>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row>
    <row r="800">
      <c r="A800" s="7"/>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row>
    <row r="801">
      <c r="A801" s="7"/>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row>
    <row r="802">
      <c r="A802" s="7"/>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row>
    <row r="803">
      <c r="A803" s="7"/>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row>
    <row r="804">
      <c r="A804" s="7"/>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row>
    <row r="805">
      <c r="A805" s="7"/>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row>
    <row r="806">
      <c r="A806" s="7"/>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row>
    <row r="807">
      <c r="A807" s="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row>
    <row r="808">
      <c r="A808" s="7"/>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row>
    <row r="809">
      <c r="A809" s="7"/>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row>
    <row r="810">
      <c r="A810" s="7"/>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row>
    <row r="811">
      <c r="A811" s="7"/>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row>
    <row r="812">
      <c r="A812" s="7"/>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row>
    <row r="813">
      <c r="A813" s="7"/>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row>
    <row r="814">
      <c r="A814" s="7"/>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row>
    <row r="815">
      <c r="A815" s="7"/>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row>
    <row r="816">
      <c r="A816" s="7"/>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row>
    <row r="817">
      <c r="A817" s="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row>
    <row r="818">
      <c r="A818" s="7"/>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row>
    <row r="819">
      <c r="A819" s="7"/>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row>
    <row r="820">
      <c r="A820" s="7"/>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row>
    <row r="821">
      <c r="A821" s="7"/>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row>
    <row r="822">
      <c r="A822" s="7"/>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row>
    <row r="823">
      <c r="A823" s="7"/>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row>
    <row r="824">
      <c r="A824" s="7"/>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row>
    <row r="825">
      <c r="A825" s="7"/>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row>
    <row r="826">
      <c r="A826" s="7"/>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row>
    <row r="827">
      <c r="A827" s="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row>
    <row r="828">
      <c r="A828" s="7"/>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row>
    <row r="829">
      <c r="A829" s="7"/>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row>
    <row r="830">
      <c r="A830" s="7"/>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row>
    <row r="831">
      <c r="A831" s="7"/>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row>
    <row r="832">
      <c r="A832" s="7"/>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row>
    <row r="833">
      <c r="A833" s="7"/>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row>
    <row r="834">
      <c r="A834" s="7"/>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row>
    <row r="835">
      <c r="A835" s="7"/>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row>
    <row r="836">
      <c r="A836" s="7"/>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row>
    <row r="837">
      <c r="A837" s="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row>
    <row r="838">
      <c r="A838" s="7"/>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row>
    <row r="839">
      <c r="A839" s="7"/>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row>
    <row r="840">
      <c r="A840" s="7"/>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row>
    <row r="841">
      <c r="A841" s="7"/>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row>
    <row r="842">
      <c r="A842" s="7"/>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row>
    <row r="843">
      <c r="A843" s="7"/>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row>
    <row r="844">
      <c r="A844" s="7"/>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row>
    <row r="845">
      <c r="A845" s="7"/>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row>
    <row r="846">
      <c r="A846" s="7"/>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row>
    <row r="847">
      <c r="A847" s="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row>
    <row r="848">
      <c r="A848" s="7"/>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row>
    <row r="849">
      <c r="A849" s="7"/>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row>
    <row r="850">
      <c r="A850" s="7"/>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row>
    <row r="851">
      <c r="A851" s="7"/>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row>
    <row r="852">
      <c r="A852" s="7"/>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row>
    <row r="853">
      <c r="A853" s="7"/>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row>
    <row r="854">
      <c r="A854" s="7"/>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row>
    <row r="855">
      <c r="A855" s="7"/>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row>
    <row r="856">
      <c r="A856" s="7"/>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row>
    <row r="857">
      <c r="A857" s="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row>
    <row r="858">
      <c r="A858" s="7"/>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row>
    <row r="859">
      <c r="A859" s="7"/>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row>
    <row r="860">
      <c r="A860" s="7"/>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row>
    <row r="861">
      <c r="A861" s="7"/>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row>
    <row r="862">
      <c r="A862" s="7"/>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row>
    <row r="863">
      <c r="A863" s="7"/>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row>
    <row r="864">
      <c r="A864" s="7"/>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row>
    <row r="865">
      <c r="A865" s="7"/>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row>
    <row r="866">
      <c r="A866" s="7"/>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row>
    <row r="867">
      <c r="A867" s="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row>
    <row r="868">
      <c r="A868" s="7"/>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row>
    <row r="869">
      <c r="A869" s="7"/>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row>
    <row r="870">
      <c r="A870" s="7"/>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row>
    <row r="871">
      <c r="A871" s="7"/>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row>
    <row r="872">
      <c r="A872" s="7"/>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row>
    <row r="873">
      <c r="A873" s="7"/>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row>
    <row r="874">
      <c r="A874" s="7"/>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row>
    <row r="875">
      <c r="A875" s="7"/>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row>
    <row r="876">
      <c r="A876" s="7"/>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row>
    <row r="877">
      <c r="A877" s="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row>
    <row r="878">
      <c r="A878" s="7"/>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row>
    <row r="879">
      <c r="A879" s="7"/>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row>
    <row r="880">
      <c r="A880" s="7"/>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row>
    <row r="881">
      <c r="A881" s="7"/>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row>
    <row r="882">
      <c r="A882" s="7"/>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row>
    <row r="883">
      <c r="A883" s="7"/>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row>
    <row r="884">
      <c r="A884" s="7"/>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row>
    <row r="885">
      <c r="A885" s="7"/>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row>
    <row r="886">
      <c r="A886" s="7"/>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row>
    <row r="887">
      <c r="A887" s="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row>
    <row r="888">
      <c r="A888" s="7"/>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row>
    <row r="889">
      <c r="A889" s="7"/>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row>
    <row r="890">
      <c r="A890" s="7"/>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row>
    <row r="891">
      <c r="A891" s="7"/>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row>
    <row r="892">
      <c r="A892" s="7"/>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row>
    <row r="893">
      <c r="A893" s="7"/>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row>
    <row r="894">
      <c r="A894" s="7"/>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row>
    <row r="895">
      <c r="A895" s="7"/>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row>
    <row r="896">
      <c r="A896" s="7"/>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row>
    <row r="897">
      <c r="A897" s="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row>
    <row r="898">
      <c r="A898" s="7"/>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row>
    <row r="899">
      <c r="A899" s="7"/>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row>
    <row r="900">
      <c r="A900" s="7"/>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row>
    <row r="901">
      <c r="A901" s="7"/>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row>
    <row r="902">
      <c r="A902" s="7"/>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row>
    <row r="903">
      <c r="A903" s="7"/>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row>
    <row r="904">
      <c r="A904" s="7"/>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row>
    <row r="905">
      <c r="A905" s="7"/>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row>
    <row r="906">
      <c r="A906" s="7"/>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row>
    <row r="907">
      <c r="A907" s="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row>
    <row r="908">
      <c r="A908" s="7"/>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row>
    <row r="909">
      <c r="A909" s="7"/>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row>
    <row r="910">
      <c r="A910" s="7"/>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row>
    <row r="911">
      <c r="A911" s="7"/>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row>
    <row r="912">
      <c r="A912" s="7"/>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row>
    <row r="913">
      <c r="A913" s="7"/>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row>
    <row r="914">
      <c r="A914" s="7"/>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row>
    <row r="915">
      <c r="A915" s="7"/>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row>
    <row r="916">
      <c r="A916" s="7"/>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row>
    <row r="917">
      <c r="A917" s="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row>
    <row r="918">
      <c r="A918" s="7"/>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row>
    <row r="919">
      <c r="A919" s="7"/>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row>
    <row r="920">
      <c r="A920" s="7"/>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row>
    <row r="921">
      <c r="A921" s="7"/>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row>
    <row r="922">
      <c r="A922" s="7"/>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row>
    <row r="923">
      <c r="A923" s="7"/>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row>
    <row r="924">
      <c r="A924" s="7"/>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row>
    <row r="925">
      <c r="A925" s="7"/>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row>
    <row r="926">
      <c r="A926" s="7"/>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row>
    <row r="927">
      <c r="A927" s="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row>
    <row r="928">
      <c r="A928" s="7"/>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row>
    <row r="929">
      <c r="A929" s="7"/>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row>
    <row r="930">
      <c r="A930" s="7"/>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row>
    <row r="931">
      <c r="A931" s="7"/>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row>
    <row r="932">
      <c r="A932" s="7"/>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row>
    <row r="933">
      <c r="A933" s="7"/>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row>
    <row r="934">
      <c r="A934" s="7"/>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row>
    <row r="935">
      <c r="A935" s="7"/>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row>
    <row r="936">
      <c r="A936" s="7"/>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row>
    <row r="937">
      <c r="A937" s="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row>
    <row r="938">
      <c r="A938" s="7"/>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row>
    <row r="939">
      <c r="A939" s="7"/>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row>
    <row r="940">
      <c r="A940" s="7"/>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row>
    <row r="941">
      <c r="A941" s="7"/>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row>
    <row r="942">
      <c r="A942" s="7"/>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row>
    <row r="943">
      <c r="A943" s="7"/>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row>
    <row r="944">
      <c r="A944" s="7"/>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row>
    <row r="945">
      <c r="A945" s="7"/>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row>
    <row r="946">
      <c r="A946" s="7"/>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row>
    <row r="947">
      <c r="A947" s="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row>
    <row r="948">
      <c r="A948" s="7"/>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row>
    <row r="949">
      <c r="A949" s="7"/>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row>
    <row r="950">
      <c r="A950" s="7"/>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row>
    <row r="951">
      <c r="A951" s="7"/>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row>
    <row r="952">
      <c r="A952" s="7"/>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row>
    <row r="953">
      <c r="A953" s="7"/>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row>
    <row r="954">
      <c r="A954" s="7"/>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row>
    <row r="955">
      <c r="A955" s="7"/>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row>
    <row r="956">
      <c r="A956" s="7"/>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row>
    <row r="957">
      <c r="A957" s="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row>
    <row r="958">
      <c r="A958" s="7"/>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row>
    <row r="959">
      <c r="A959" s="7"/>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row>
    <row r="960">
      <c r="A960" s="7"/>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row>
    <row r="961">
      <c r="A961" s="7"/>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row>
    <row r="962">
      <c r="A962" s="7"/>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row>
    <row r="963">
      <c r="A963" s="7"/>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row>
    <row r="964">
      <c r="A964" s="7"/>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row>
    <row r="965">
      <c r="A965" s="7"/>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row>
    <row r="966">
      <c r="A966" s="7"/>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row>
    <row r="967">
      <c r="A967" s="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row>
    <row r="968">
      <c r="A968" s="7"/>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row>
    <row r="969">
      <c r="A969" s="7"/>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row>
    <row r="970">
      <c r="A970" s="7"/>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row>
    <row r="971">
      <c r="A971" s="7"/>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row>
    <row r="972">
      <c r="A972" s="7"/>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row>
    <row r="973">
      <c r="A973" s="7"/>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2.75"/>
    <col customWidth="1" min="3" max="3" width="95.38"/>
    <col customWidth="1" min="4" max="4" width="33.75"/>
    <col customWidth="1" min="5" max="26" width="10.38"/>
  </cols>
  <sheetData>
    <row r="1">
      <c r="A1" s="8" t="str">
        <f>IFERROR(__xludf.DUMMYFUNCTION("QUERY(Sheet1!A:AD, ""SELECT A, B, S, I WHERE V = 'PUBLISH_ANON' AND C = 'VERIFIED_WEB'"", 1)"),"timestamp")</f>
        <v>timestamp</v>
      </c>
      <c r="B1" s="8" t="str">
        <f>IFERROR(__xludf.DUMMYFUNCTION("""COMPUTED_VALUE"""),"log_id")</f>
        <v>log_id</v>
      </c>
      <c r="C1" s="8" t="str">
        <f>IFERROR(__xludf.DUMMYFUNCTION("""COMPUTED_VALUE"""),"narrative")</f>
        <v>narrative</v>
      </c>
      <c r="D1" s="8" t="str">
        <f>IFERROR(__xludf.DUMMYFUNCTION("""COMPUTED_VALUE"""),"location_specific")</f>
        <v>location_specific</v>
      </c>
      <c r="E1" s="8"/>
      <c r="F1" s="8"/>
      <c r="G1" s="8"/>
      <c r="H1" s="8"/>
      <c r="I1" s="8"/>
      <c r="J1" s="8"/>
      <c r="K1" s="8"/>
      <c r="L1" s="8"/>
      <c r="M1" s="8"/>
      <c r="N1" s="8"/>
      <c r="O1" s="8"/>
      <c r="P1" s="8"/>
      <c r="Q1" s="8"/>
      <c r="R1" s="8"/>
      <c r="S1" s="8"/>
      <c r="T1" s="8"/>
      <c r="U1" s="8"/>
      <c r="V1" s="8"/>
      <c r="W1" s="8"/>
      <c r="X1" s="8"/>
      <c r="Y1" s="8"/>
      <c r="Z1" s="8"/>
    </row>
    <row r="2">
      <c r="A2" s="9">
        <f>IFERROR(__xludf.DUMMYFUNCTION("""COMPUTED_VALUE"""),46026.02750059027)</f>
        <v>46026.0275</v>
      </c>
      <c r="B2" s="8" t="str">
        <f>IFERROR(__xludf.DUMMYFUNCTION("""COMPUTED_VALUE"""),"CASE-47528")</f>
        <v>CASE-47528</v>
      </c>
      <c r="C2" s="8" t="str">
        <f>IFERROR(__xludf.DUMMYFUNCTION("""COMPUTED_VALUE"""),"March 24th, 2023 - I visited The Brick Saloon with a group of ~10 other women as part of a bachelorette weekend. It was in the evening around 7-8pm, one half of the building was the original bar area and the other was a stage with live band playing and da"&amp;"ncefloor. One of the employees asked if we wanted to see the basement which was the former jail for the town, we agreed and they brought us downstairs. It was open to the entire floorplan of the main building, with a few gated cells on the nearest side an"&amp;"d foundation pilings throughout the rest. It was pretty much a giant supply room, mostly cleaning and barware but more thrifty/antique items toward the rear of the building. The employee mentioned hearing laughter sometimes when he was downstairs alone, I"&amp;" was a little curious so myself and another girl went further back away from the rest of the group to explore.
She and I split up towards the back of the large room. I turned a corner around a foundation footing and saw what looked like a rectangular m"&amp;"irror leaning against the wall to my right. It was about 6x3 ft similar to a dressing room door mirror. As I walked forward I turned towards it to see my reflection, but it only showed the wall opposite me. I was a little panicked and surprised, so I call"&amp;"ed for my friend who had followed me away from the group. When she stepped in front of it she also did not appear. We waved our arms, changed angles, nothing. Finally, I reached out to touch it and felt nothing but air. It was an opening in the foundation"&amp;" footing that looked like a mirror image of the opposite side, and something about it gave the appearance of a tall narrow mirror leaning against a wall somehow.
Since it was with a bachelorette group at a bar, I feel that I should add that it was our "&amp;"first stop of the night on a Friday evening. I had 2 light beers as a quick ""pregame"" at the rental house after arriving from Seattle, before our drive from Suncadia (Cle Elum) to Roslyn. I also VERY regularly smoke and vape cannabis so that was involve"&amp;"d as well. None of this is out of the ordinary for me by any means (basically any given Tuesday) and I am very confident in saying that it had little to no effect on my experience. Especially given that it was a shared experience, and had been my only par"&amp;"anormal experience at the time. ")</f>
        <v>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v>
      </c>
      <c r="D2" s="8" t="str">
        <f>IFERROR(__xludf.DUMMYFUNCTION("""COMPUTED_VALUE"""),"The Brick Saloon in Roslyn WA, basement")</f>
        <v>The Brick Saloon in Roslyn WA, basement</v>
      </c>
      <c r="E2" s="8"/>
      <c r="F2" s="8"/>
      <c r="G2" s="8"/>
      <c r="H2" s="8"/>
      <c r="I2" s="8"/>
      <c r="J2" s="8"/>
      <c r="K2" s="8"/>
      <c r="L2" s="8"/>
      <c r="M2" s="8"/>
      <c r="N2" s="8"/>
      <c r="O2" s="8"/>
      <c r="P2" s="8"/>
      <c r="Q2" s="8"/>
      <c r="R2" s="8"/>
      <c r="S2" s="8"/>
      <c r="T2" s="8"/>
      <c r="U2" s="8"/>
      <c r="V2" s="8"/>
      <c r="W2" s="8"/>
      <c r="X2" s="8"/>
      <c r="Y2" s="8"/>
      <c r="Z2" s="8"/>
    </row>
    <row r="3">
      <c r="A3" s="9">
        <f>IFERROR(__xludf.DUMMYFUNCTION("""COMPUTED_VALUE"""),46026.19953160879)</f>
        <v>46026.19953</v>
      </c>
      <c r="B3" s="8" t="str">
        <f>IFERROR(__xludf.DUMMYFUNCTION("""COMPUTED_VALUE"""),"CASE-75731")</f>
        <v>CASE-75731</v>
      </c>
      <c r="C3" s="8" t="str">
        <f>IFERROR(__xludf.DUMMYFUNCTION("""COMPUTED_VALUE"""),"I was driving home late at night along a very familiar route. A section of this route ""repeated"" several minutes after I'd already driven through. The total drive took the same amount of time as usual, but my car displays ""trip information"" on the das"&amp;"h and the distance driven was about 5 miles too far.")</f>
        <v>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v>
      </c>
      <c r="D3" s="8"/>
      <c r="E3" s="8"/>
      <c r="F3" s="8"/>
      <c r="G3" s="8"/>
      <c r="H3" s="8"/>
      <c r="I3" s="8"/>
      <c r="J3" s="8"/>
      <c r="K3" s="8"/>
      <c r="L3" s="8"/>
      <c r="M3" s="8"/>
      <c r="N3" s="8"/>
      <c r="O3" s="8"/>
      <c r="P3" s="8"/>
      <c r="Q3" s="8"/>
      <c r="R3" s="8"/>
      <c r="S3" s="8"/>
      <c r="T3" s="8"/>
      <c r="U3" s="8"/>
      <c r="V3" s="8"/>
      <c r="W3" s="8"/>
      <c r="X3" s="8"/>
      <c r="Y3" s="8"/>
      <c r="Z3" s="8"/>
    </row>
    <row r="4">
      <c r="A4" s="9">
        <f>IFERROR(__xludf.DUMMYFUNCTION("""COMPUTED_VALUE"""),46026.22720988426)</f>
        <v>46026.22721</v>
      </c>
      <c r="B4" s="8" t="str">
        <f>IFERROR(__xludf.DUMMYFUNCTION("""COMPUTED_VALUE"""),"CASE-96915")</f>
        <v>CASE-96915</v>
      </c>
      <c r="C4" s="8" t="str">
        <f>IFERROR(__xludf.DUMMYFUNCTION("""COMPUTED_VALUE"""),"Time stopped but music blared. When the song ended and the next began, time resumed. Inbetween was chaos and the other side was normality yet again as if nothing at all had happened.  ")</f>
        <v>Time stopped but music blared. When the song ended and the next began, time resumed. Inbetween was chaos and the other side was normality yet again as if nothing at all had happened.  </v>
      </c>
      <c r="D4" s="8" t="str">
        <f>IFERROR(__xludf.DUMMYFUNCTION("""COMPUTED_VALUE"""),"Seattle-ish")</f>
        <v>Seattle-ish</v>
      </c>
      <c r="E4" s="8"/>
      <c r="F4" s="8"/>
      <c r="G4" s="8"/>
      <c r="H4" s="8"/>
      <c r="I4" s="8"/>
      <c r="J4" s="8"/>
      <c r="K4" s="8"/>
      <c r="L4" s="8"/>
      <c r="M4" s="8"/>
      <c r="N4" s="8"/>
      <c r="O4" s="8"/>
      <c r="P4" s="8"/>
      <c r="Q4" s="8"/>
      <c r="R4" s="8"/>
      <c r="S4" s="8"/>
      <c r="T4" s="8"/>
      <c r="U4" s="8"/>
      <c r="V4" s="8"/>
      <c r="W4" s="8"/>
      <c r="X4" s="8"/>
      <c r="Y4" s="8"/>
      <c r="Z4" s="8"/>
    </row>
    <row r="5">
      <c r="A5" s="9">
        <f>IFERROR(__xludf.DUMMYFUNCTION("""COMPUTED_VALUE"""),46026.794663043984)</f>
        <v>46026.79466</v>
      </c>
      <c r="B5" s="8" t="str">
        <f>IFERROR(__xludf.DUMMYFUNCTION("""COMPUTED_VALUE"""),"CASE-46678")</f>
        <v>CASE-46678</v>
      </c>
      <c r="C5" s="8" t="str">
        <f>IFERROR(__xludf.DUMMYFUNCTION("""COMPUTED_VALUE"""),"Brief humming/grunt sounds ""hmm"" ""hmm"" ")</f>
        <v>Brief humming/grunt sounds "hmm" "hmm" </v>
      </c>
      <c r="D5" s="8" t="str">
        <f>IFERROR(__xludf.DUMMYFUNCTION("""COMPUTED_VALUE"""),"Duckabush River trail")</f>
        <v>Duckabush River trail</v>
      </c>
      <c r="E5" s="8"/>
      <c r="F5" s="8"/>
      <c r="G5" s="8"/>
      <c r="H5" s="8"/>
      <c r="I5" s="8"/>
      <c r="J5" s="8"/>
      <c r="K5" s="8"/>
      <c r="L5" s="8"/>
      <c r="M5" s="8"/>
      <c r="N5" s="8"/>
      <c r="O5" s="8"/>
      <c r="P5" s="8"/>
      <c r="Q5" s="8"/>
      <c r="R5" s="8"/>
      <c r="S5" s="8"/>
      <c r="T5" s="8"/>
      <c r="U5" s="8"/>
      <c r="V5" s="8"/>
      <c r="W5" s="8"/>
      <c r="X5" s="8"/>
      <c r="Y5" s="8"/>
      <c r="Z5" s="8"/>
    </row>
    <row r="6">
      <c r="A6" s="9">
        <f>IFERROR(__xludf.DUMMYFUNCTION("""COMPUTED_VALUE"""),46026.796708668975)</f>
        <v>46026.79671</v>
      </c>
      <c r="B6" s="8" t="str">
        <f>IFERROR(__xludf.DUMMYFUNCTION("""COMPUTED_VALUE"""),"CASE-46732")</f>
        <v>CASE-46732</v>
      </c>
      <c r="C6" s="8" t="str">
        <f>IFERROR(__xludf.DUMMYFUNCTION("""COMPUTED_VALUE"""),"For the last week, every time I go to sleep, I dream another life that has its own continuity. It feels so lived in and real. All these people and places that I know but I don’t know them in this reality or state of consciousness. I can barely remember an"&amp;"y of it when I wake up, but the feeling lingers and I can’t wait to see what happens next.")</f>
        <v>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v>
      </c>
      <c r="D6" s="8" t="str">
        <f>IFERROR(__xludf.DUMMYFUNCTION("""COMPUTED_VALUE"""),"Central District Seattle")</f>
        <v>Central District Seattle</v>
      </c>
      <c r="E6" s="8"/>
      <c r="F6" s="8"/>
      <c r="G6" s="8"/>
      <c r="H6" s="8"/>
      <c r="I6" s="8"/>
      <c r="J6" s="8"/>
      <c r="K6" s="8"/>
      <c r="L6" s="8"/>
      <c r="M6" s="8"/>
      <c r="N6" s="8"/>
      <c r="O6" s="8"/>
      <c r="P6" s="8"/>
      <c r="Q6" s="8"/>
      <c r="R6" s="8"/>
      <c r="S6" s="8"/>
      <c r="T6" s="8"/>
      <c r="U6" s="8"/>
      <c r="V6" s="8"/>
      <c r="W6" s="8"/>
      <c r="X6" s="8"/>
      <c r="Y6" s="8"/>
      <c r="Z6" s="8"/>
    </row>
    <row r="7">
      <c r="A7" s="9">
        <f>IFERROR(__xludf.DUMMYFUNCTION("""COMPUTED_VALUE"""),46026.986482465276)</f>
        <v>46026.98648</v>
      </c>
      <c r="B7" s="8" t="str">
        <f>IFERROR(__xludf.DUMMYFUNCTION("""COMPUTED_VALUE"""),"CASE-59846")</f>
        <v>CASE-59846</v>
      </c>
      <c r="C7" s="8" t="str">
        <f>IFERROR(__xludf.DUMMYFUNCTION("""COMPUTED_VALUE"""),"I was waiting for the bus after work and noticed a handful of lights in the southwestern sky. My first thought was that they were planes, but they were solid lights that hovered in the same spot for a good while. As I watched them, they moved slowly to fo"&amp;"rm a triangle. I watched them for about 15 minutes before my bus came and by the time I got off at my stop, I couldn't see them anymore.")</f>
        <v>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v>
      </c>
      <c r="D7" s="8" t="str">
        <f>IFERROR(__xludf.DUMMYFUNCTION("""COMPUTED_VALUE"""),"34th Ave W &amp; W Raye Street")</f>
        <v>34th Ave W &amp; W Raye Street</v>
      </c>
      <c r="E7" s="8"/>
      <c r="F7" s="8"/>
      <c r="G7" s="8"/>
      <c r="H7" s="8"/>
      <c r="I7" s="8"/>
      <c r="J7" s="8"/>
      <c r="K7" s="8"/>
      <c r="L7" s="8"/>
      <c r="M7" s="8"/>
      <c r="N7" s="8"/>
      <c r="O7" s="8"/>
      <c r="P7" s="8"/>
      <c r="Q7" s="8"/>
      <c r="R7" s="8"/>
      <c r="S7" s="8"/>
      <c r="T7" s="8"/>
      <c r="U7" s="8"/>
      <c r="V7" s="8"/>
      <c r="W7" s="8"/>
      <c r="X7" s="8"/>
      <c r="Y7" s="8"/>
      <c r="Z7" s="8"/>
    </row>
    <row r="8">
      <c r="A8" s="9">
        <f>IFERROR(__xludf.DUMMYFUNCTION("""COMPUTED_VALUE"""),46027.105759826394)</f>
        <v>46027.10576</v>
      </c>
      <c r="B8" s="8" t="str">
        <f>IFERROR(__xludf.DUMMYFUNCTION("""COMPUTED_VALUE"""),"CASE-51685")</f>
        <v>CASE-51685</v>
      </c>
      <c r="C8" s="8" t="str">
        <f>IFERROR(__xludf.DUMMYFUNCTION("""COMPUTED_VALUE"""),"I was diving in Lake Washington, doing a salvage for a sunken boat. We did not know the actual location so we had to still locate it. I had a crew above in a tug boat monitoring me, and I was in the water, about 120 feet underwater. I was walking on the b"&amp;"ottom of the lake, and it was pitch black but I had a flashlight. Everything was unremarkable until I felt a swoosh past, like a big movement of water, it even made me stumble. My heart started beating fast because I felt a sudden fear knowing that nothin"&amp;"g should be able to move that big in Lake Washington. I kept walking and looking with my flashlight then I saw giant fish scales, white and orange. It was a giant koi fish. I followed it with my flashlight and it had to have been the size of a Mini Cooper"&amp;", it swam in and out of the range of my flashlight for a little while and when my fear finally subsided and I was able to move, I swam up to get out of the water. ")</f>
        <v>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v>
      </c>
      <c r="D8" s="8" t="str">
        <f>IFERROR(__xludf.DUMMYFUNCTION("""COMPUTED_VALUE"""),"Lake Washington ")</f>
        <v>Lake Washington </v>
      </c>
      <c r="E8" s="8"/>
      <c r="F8" s="8"/>
      <c r="G8" s="8"/>
      <c r="H8" s="8"/>
      <c r="I8" s="8"/>
      <c r="J8" s="8"/>
      <c r="K8" s="8"/>
      <c r="L8" s="8"/>
      <c r="M8" s="8"/>
      <c r="N8" s="8"/>
      <c r="O8" s="8"/>
      <c r="P8" s="8"/>
      <c r="Q8" s="8"/>
      <c r="R8" s="8"/>
      <c r="S8" s="8"/>
      <c r="T8" s="8"/>
      <c r="U8" s="8"/>
      <c r="V8" s="8"/>
      <c r="W8" s="8"/>
      <c r="X8" s="8"/>
      <c r="Y8" s="8"/>
      <c r="Z8" s="8"/>
    </row>
    <row r="9">
      <c r="A9" s="9">
        <f>IFERROR(__xludf.DUMMYFUNCTION("""COMPUTED_VALUE"""),46027.38167475694)</f>
        <v>46027.38167</v>
      </c>
      <c r="B9" s="8" t="str">
        <f>IFERROR(__xludf.DUMMYFUNCTION("""COMPUTED_VALUE"""),"CASE-85761")</f>
        <v>CASE-85761</v>
      </c>
      <c r="C9" s="8" t="str">
        <f>IFERROR(__xludf.DUMMYFUNCTION("""COMPUTED_VALUE"""),"There were 7 of us sitting around a campfire at a campground with about 12 lots. We heard someone yell for help. We sat silently for a few seconds before we all heard it again. It was coming very clearly from the direction of one of the other plots. I gra"&amp;"bbed a flashlight and 3 of us went to go down the path to check out the other lot. we ran into a group of 2 people from another camp who heard the same thing that were also on their way. No one heard another sound on the way there. when we arrived at the "&amp;"lot we heard it from it was empty - no signs of anyone at all. We looked around and behind the camp but it was just dense forest in every direction. the campground was a circle so behind this lot there weren't any other camps, it had to be from here. Afte"&amp;"r a while of poking around confused and scared everyone went back to camp and tried to sleep. We talked to a park ranger driving around the campground next morning and asked if anything happened. They hadn't heard anything, and everyone at all the campsit"&amp;"es were accounted for. No one knew who it was, or if it was even a person.")</f>
        <v>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v>
      </c>
      <c r="D9" s="8" t="str">
        <f>IFERROR(__xludf.DUMMYFUNCTION("""COMPUTED_VALUE"""),"Unknown lake, chelan county?")</f>
        <v>Unknown lake, chelan county?</v>
      </c>
      <c r="E9" s="8"/>
      <c r="F9" s="8"/>
      <c r="G9" s="8"/>
      <c r="H9" s="8"/>
      <c r="I9" s="8"/>
      <c r="J9" s="8"/>
      <c r="K9" s="8"/>
      <c r="L9" s="8"/>
      <c r="M9" s="8"/>
      <c r="N9" s="8"/>
      <c r="O9" s="8"/>
      <c r="P9" s="8"/>
      <c r="Q9" s="8"/>
      <c r="R9" s="8"/>
      <c r="S9" s="8"/>
      <c r="T9" s="8"/>
      <c r="U9" s="8"/>
      <c r="V9" s="8"/>
      <c r="W9" s="8"/>
      <c r="X9" s="8"/>
      <c r="Y9" s="8"/>
      <c r="Z9" s="8"/>
    </row>
    <row r="10">
      <c r="A10" s="9">
        <f>IFERROR(__xludf.DUMMYFUNCTION("""COMPUTED_VALUE"""),46027.47654608796)</f>
        <v>46027.47655</v>
      </c>
      <c r="B10" s="8" t="str">
        <f>IFERROR(__xludf.DUMMYFUNCTION("""COMPUTED_VALUE"""),"CASE-51740")</f>
        <v>CASE-51740</v>
      </c>
      <c r="C10" s="8" t="str">
        <f>IFERROR(__xludf.DUMMYFUNCTION("""COMPUTED_VALUE"""),"I was walking through the park on my way home around 3pm. Suddenly all traffic sounds stopped and I could only hear a low hum coming from under a bridge. I stopped to look at where the noise was coming from for a moment and as I did, I became incredibly n"&amp;"auseated. After about 30 seconds, a group of crows cawed loudly and flew out in my direction and all the noise of the city unpaused itself. My watch said it was now 4:23pm. ")</f>
        <v>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v>
      </c>
      <c r="D10" s="8" t="str">
        <f>IFERROR(__xludf.DUMMYFUNCTION("""COMPUTED_VALUE"""),"Downtown Seattle, Freeway Park")</f>
        <v>Downtown Seattle, Freeway Park</v>
      </c>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3" max="23" width="86.0"/>
    <col customWidth="1" min="36" max="36" width="41.5"/>
    <col customWidth="1" min="38" max="38" width="15.13"/>
    <col customWidth="1" min="39" max="39" width="16.5"/>
  </cols>
  <sheetData>
    <row r="1">
      <c r="A1" s="10" t="s">
        <v>0</v>
      </c>
      <c r="B1" s="2" t="s">
        <v>1</v>
      </c>
      <c r="C1" s="2" t="s">
        <v>3</v>
      </c>
      <c r="D1" s="2" t="s">
        <v>4</v>
      </c>
      <c r="E1" s="2" t="s">
        <v>7</v>
      </c>
      <c r="F1" s="2" t="s">
        <v>6</v>
      </c>
      <c r="G1" s="2" t="s">
        <v>5</v>
      </c>
      <c r="H1" s="2" t="s">
        <v>109</v>
      </c>
      <c r="I1" s="2" t="s">
        <v>110</v>
      </c>
      <c r="J1" s="2" t="s">
        <v>111</v>
      </c>
      <c r="K1" s="2" t="s">
        <v>112</v>
      </c>
      <c r="L1" s="2" t="s">
        <v>113</v>
      </c>
      <c r="M1" s="2" t="s">
        <v>114</v>
      </c>
      <c r="N1" s="2" t="s">
        <v>9</v>
      </c>
      <c r="O1" s="2" t="s">
        <v>10</v>
      </c>
      <c r="P1" s="2" t="s">
        <v>11</v>
      </c>
      <c r="Q1" s="2" t="s">
        <v>12</v>
      </c>
      <c r="R1" s="2" t="s">
        <v>13</v>
      </c>
      <c r="S1" s="2" t="s">
        <v>14</v>
      </c>
      <c r="T1" s="2" t="s">
        <v>15</v>
      </c>
      <c r="U1" s="2" t="s">
        <v>16</v>
      </c>
      <c r="V1" s="2" t="s">
        <v>17</v>
      </c>
      <c r="W1" s="2" t="s">
        <v>18</v>
      </c>
      <c r="X1" s="2" t="s">
        <v>115</v>
      </c>
      <c r="Y1" s="2" t="s">
        <v>116</v>
      </c>
      <c r="Z1" s="2" t="s">
        <v>117</v>
      </c>
      <c r="AA1" s="2" t="s">
        <v>118</v>
      </c>
      <c r="AB1" s="2" t="s">
        <v>119</v>
      </c>
      <c r="AC1" s="2" t="s">
        <v>120</v>
      </c>
      <c r="AD1" s="2" t="s">
        <v>121</v>
      </c>
      <c r="AE1" s="2" t="s">
        <v>122</v>
      </c>
      <c r="AF1" s="2" t="s">
        <v>123</v>
      </c>
      <c r="AG1" s="2" t="s">
        <v>124</v>
      </c>
      <c r="AH1" s="2" t="s">
        <v>125</v>
      </c>
      <c r="AI1" s="2" t="s">
        <v>126</v>
      </c>
      <c r="AJ1" s="2" t="s">
        <v>19</v>
      </c>
      <c r="AK1" s="2" t="s">
        <v>20</v>
      </c>
      <c r="AL1" s="2" t="s">
        <v>21</v>
      </c>
      <c r="AM1" s="2" t="s">
        <v>2</v>
      </c>
      <c r="AN1" s="2" t="s">
        <v>23</v>
      </c>
      <c r="AO1" s="2" t="s">
        <v>8</v>
      </c>
      <c r="AP1" s="2" t="s">
        <v>127</v>
      </c>
      <c r="AQ1" s="2" t="s">
        <v>25</v>
      </c>
      <c r="AR1" s="2" t="s">
        <v>26</v>
      </c>
      <c r="AS1" s="2" t="s">
        <v>27</v>
      </c>
      <c r="AT1" s="2" t="s">
        <v>128</v>
      </c>
      <c r="AU1" s="2" t="s">
        <v>129</v>
      </c>
      <c r="AV1" s="2" t="s">
        <v>28</v>
      </c>
      <c r="AW1" s="2" t="s">
        <v>130</v>
      </c>
      <c r="AX1" s="2" t="s">
        <v>29</v>
      </c>
      <c r="AY1" s="2" t="s">
        <v>131</v>
      </c>
      <c r="AZ1" s="2" t="s">
        <v>24</v>
      </c>
      <c r="BA1" s="2" t="s">
        <v>132</v>
      </c>
      <c r="BB1" s="2" t="s">
        <v>133</v>
      </c>
      <c r="BC1" s="2" t="s">
        <v>22</v>
      </c>
    </row>
    <row r="2">
      <c r="A2" s="3">
        <v>46026.02750059028</v>
      </c>
      <c r="B2" s="4" t="s">
        <v>30</v>
      </c>
      <c r="C2" s="4" t="s">
        <v>32</v>
      </c>
      <c r="D2" s="4" t="s">
        <v>33</v>
      </c>
      <c r="E2" s="4" t="s">
        <v>36</v>
      </c>
      <c r="F2" s="4" t="s">
        <v>35</v>
      </c>
      <c r="G2" s="4" t="s">
        <v>34</v>
      </c>
      <c r="H2" s="4"/>
      <c r="I2" s="4"/>
      <c r="J2" s="4"/>
      <c r="K2" s="4"/>
      <c r="L2" s="4"/>
      <c r="M2" s="4"/>
      <c r="N2" s="4" t="s">
        <v>38</v>
      </c>
      <c r="O2" s="4"/>
      <c r="P2" s="4"/>
      <c r="Q2" s="4"/>
      <c r="R2" s="4"/>
      <c r="S2" s="4"/>
      <c r="T2" s="4"/>
      <c r="U2" s="4"/>
      <c r="V2" s="4"/>
      <c r="W2" s="4" t="s">
        <v>39</v>
      </c>
      <c r="X2" s="4"/>
      <c r="Y2" s="4"/>
      <c r="Z2" s="4"/>
      <c r="AA2" s="4"/>
      <c r="AB2" s="4"/>
      <c r="AC2" s="4"/>
      <c r="AD2" s="6"/>
      <c r="AE2" s="6"/>
      <c r="AF2" s="6"/>
      <c r="AG2" s="6"/>
      <c r="AH2" s="6"/>
      <c r="AI2" s="6"/>
      <c r="AJ2" s="4" t="s">
        <v>40</v>
      </c>
      <c r="AK2" s="4" t="s">
        <v>41</v>
      </c>
      <c r="AL2" s="4" t="s">
        <v>42</v>
      </c>
      <c r="AM2" s="4" t="s">
        <v>134</v>
      </c>
      <c r="AN2" s="4"/>
      <c r="AO2" s="4" t="s">
        <v>37</v>
      </c>
      <c r="AP2" s="6"/>
      <c r="AQ2" s="6"/>
      <c r="AR2" s="6"/>
      <c r="AS2" s="6"/>
      <c r="AT2" s="6"/>
      <c r="AU2" s="6"/>
      <c r="AV2" s="6"/>
      <c r="AW2" s="6"/>
      <c r="AX2" s="6"/>
      <c r="AY2" s="6"/>
      <c r="AZ2" s="6"/>
      <c r="BA2" s="6"/>
      <c r="BB2" s="6"/>
      <c r="BC2" s="6"/>
    </row>
    <row r="3">
      <c r="A3" s="3">
        <v>46026.1995316088</v>
      </c>
      <c r="B3" s="4" t="s">
        <v>43</v>
      </c>
      <c r="C3" s="4" t="s">
        <v>32</v>
      </c>
      <c r="D3" s="4"/>
      <c r="E3" s="4" t="s">
        <v>36</v>
      </c>
      <c r="F3" s="4" t="s">
        <v>45</v>
      </c>
      <c r="G3" s="4" t="s">
        <v>44</v>
      </c>
      <c r="H3" s="4"/>
      <c r="I3" s="4"/>
      <c r="J3" s="4"/>
      <c r="K3" s="4"/>
      <c r="L3" s="4"/>
      <c r="M3" s="6"/>
      <c r="N3" s="4" t="s">
        <v>46</v>
      </c>
      <c r="O3" s="6"/>
      <c r="P3" s="4"/>
      <c r="Q3" s="4"/>
      <c r="R3" s="4"/>
      <c r="S3" s="4"/>
      <c r="T3" s="4"/>
      <c r="U3" s="4"/>
      <c r="V3" s="4"/>
      <c r="W3" s="4" t="s">
        <v>47</v>
      </c>
      <c r="X3" s="4"/>
      <c r="Y3" s="4"/>
      <c r="Z3" s="4"/>
      <c r="AA3" s="4"/>
      <c r="AB3" s="4"/>
      <c r="AC3" s="4"/>
      <c r="AD3" s="6"/>
      <c r="AE3" s="6"/>
      <c r="AF3" s="6"/>
      <c r="AG3" s="6"/>
      <c r="AH3" s="6"/>
      <c r="AI3" s="6"/>
      <c r="AJ3" s="4" t="s">
        <v>48</v>
      </c>
      <c r="AK3" s="4" t="s">
        <v>49</v>
      </c>
      <c r="AL3" s="4" t="s">
        <v>42</v>
      </c>
      <c r="AM3" s="4" t="s">
        <v>134</v>
      </c>
      <c r="AN3" s="6"/>
      <c r="AO3" s="6"/>
      <c r="AP3" s="6"/>
      <c r="AQ3" s="6"/>
      <c r="AR3" s="6"/>
      <c r="AS3" s="6"/>
      <c r="AT3" s="6"/>
      <c r="AU3" s="6"/>
      <c r="AV3" s="6"/>
      <c r="AW3" s="6"/>
      <c r="AX3" s="6"/>
      <c r="AY3" s="6"/>
      <c r="AZ3" s="6"/>
      <c r="BA3" s="6"/>
      <c r="BB3" s="6"/>
      <c r="BC3" s="6"/>
    </row>
    <row r="4">
      <c r="A4" s="3">
        <v>46026.22720988426</v>
      </c>
      <c r="B4" s="4" t="s">
        <v>50</v>
      </c>
      <c r="C4" s="4" t="s">
        <v>51</v>
      </c>
      <c r="D4" s="6"/>
      <c r="E4" s="4" t="s">
        <v>36</v>
      </c>
      <c r="F4" s="6"/>
      <c r="G4" s="6"/>
      <c r="H4" s="6"/>
      <c r="I4" s="6"/>
      <c r="J4" s="6"/>
      <c r="K4" s="6"/>
      <c r="L4" s="6"/>
      <c r="M4" s="6"/>
      <c r="N4" s="4" t="s">
        <v>46</v>
      </c>
      <c r="O4" s="6"/>
      <c r="P4" s="4" t="s">
        <v>53</v>
      </c>
      <c r="Q4" s="4" t="s">
        <v>53</v>
      </c>
      <c r="R4" s="6"/>
      <c r="S4" s="6"/>
      <c r="T4" s="6"/>
      <c r="U4" s="6"/>
      <c r="V4" s="6"/>
      <c r="W4" s="4" t="s">
        <v>54</v>
      </c>
      <c r="X4" s="6"/>
      <c r="Y4" s="6"/>
      <c r="Z4" s="6"/>
      <c r="AA4" s="6"/>
      <c r="AB4" s="6"/>
      <c r="AC4" s="6"/>
      <c r="AD4" s="6"/>
      <c r="AE4" s="6"/>
      <c r="AF4" s="6"/>
      <c r="AG4" s="6"/>
      <c r="AH4" s="6"/>
      <c r="AI4" s="6"/>
      <c r="AJ4" s="4" t="s">
        <v>55</v>
      </c>
      <c r="AK4" s="6"/>
      <c r="AL4" s="4" t="s">
        <v>42</v>
      </c>
      <c r="AM4" s="4" t="s">
        <v>134</v>
      </c>
      <c r="AN4" s="6"/>
      <c r="AO4" s="4" t="s">
        <v>52</v>
      </c>
      <c r="AP4" s="6"/>
      <c r="AQ4" s="6"/>
      <c r="AR4" s="6"/>
      <c r="AS4" s="6"/>
      <c r="AT4" s="6"/>
      <c r="AU4" s="6"/>
      <c r="AV4" s="6"/>
      <c r="AW4" s="6"/>
      <c r="AX4" s="6"/>
      <c r="AY4" s="6"/>
      <c r="AZ4" s="6"/>
      <c r="BA4" s="6"/>
      <c r="BB4" s="6"/>
      <c r="BC4" s="6"/>
    </row>
    <row r="5">
      <c r="A5" s="3">
        <v>46026.794663043984</v>
      </c>
      <c r="B5" s="4" t="s">
        <v>56</v>
      </c>
      <c r="C5" s="4" t="s">
        <v>32</v>
      </c>
      <c r="D5" s="4" t="s">
        <v>57</v>
      </c>
      <c r="E5" s="4" t="s">
        <v>36</v>
      </c>
      <c r="F5" s="6"/>
      <c r="G5" s="6"/>
      <c r="H5" s="6"/>
      <c r="I5" s="6"/>
      <c r="J5" s="6"/>
      <c r="K5" s="6"/>
      <c r="L5" s="6"/>
      <c r="M5" s="6"/>
      <c r="N5" s="4" t="s">
        <v>38</v>
      </c>
      <c r="O5" s="6"/>
      <c r="P5" s="6"/>
      <c r="Q5" s="6"/>
      <c r="R5" s="6"/>
      <c r="S5" s="6"/>
      <c r="T5" s="6"/>
      <c r="U5" s="6"/>
      <c r="V5" s="6"/>
      <c r="W5" s="4" t="s">
        <v>59</v>
      </c>
      <c r="X5" s="6"/>
      <c r="Y5" s="6"/>
      <c r="Z5" s="6"/>
      <c r="AA5" s="6"/>
      <c r="AB5" s="6"/>
      <c r="AC5" s="6"/>
      <c r="AD5" s="6"/>
      <c r="AE5" s="6"/>
      <c r="AF5" s="6"/>
      <c r="AG5" s="6"/>
      <c r="AH5" s="6"/>
      <c r="AI5" s="6"/>
      <c r="AJ5" s="4" t="s">
        <v>60</v>
      </c>
      <c r="AK5" s="6"/>
      <c r="AL5" s="4" t="s">
        <v>42</v>
      </c>
      <c r="AM5" s="4" t="s">
        <v>134</v>
      </c>
      <c r="AN5" s="6"/>
      <c r="AO5" s="4" t="s">
        <v>58</v>
      </c>
      <c r="AP5" s="6"/>
      <c r="AQ5" s="6"/>
      <c r="AR5" s="6"/>
      <c r="AS5" s="6"/>
      <c r="AT5" s="6"/>
      <c r="AU5" s="6"/>
      <c r="AV5" s="6"/>
      <c r="AW5" s="6"/>
      <c r="AX5" s="6"/>
      <c r="AY5" s="6"/>
      <c r="AZ5" s="6"/>
      <c r="BA5" s="6"/>
      <c r="BB5" s="6"/>
      <c r="BC5" s="6"/>
    </row>
    <row r="6">
      <c r="A6" s="3">
        <v>46026.79670866898</v>
      </c>
      <c r="B6" s="4" t="s">
        <v>61</v>
      </c>
      <c r="C6" s="4" t="s">
        <v>62</v>
      </c>
      <c r="D6" s="4" t="s">
        <v>63</v>
      </c>
      <c r="E6" s="4" t="s">
        <v>36</v>
      </c>
      <c r="F6" s="4" t="s">
        <v>35</v>
      </c>
      <c r="G6" s="4" t="s">
        <v>64</v>
      </c>
      <c r="H6" s="6"/>
      <c r="I6" s="6"/>
      <c r="J6" s="6"/>
      <c r="K6" s="6"/>
      <c r="L6" s="6"/>
      <c r="M6" s="6"/>
      <c r="N6" s="4" t="s">
        <v>66</v>
      </c>
      <c r="O6" s="6"/>
      <c r="P6" s="6"/>
      <c r="Q6" s="4" t="s">
        <v>53</v>
      </c>
      <c r="R6" s="6"/>
      <c r="S6" s="6"/>
      <c r="T6" s="6"/>
      <c r="U6" s="6"/>
      <c r="V6" s="6"/>
      <c r="W6" s="4" t="s">
        <v>67</v>
      </c>
      <c r="X6" s="6"/>
      <c r="Y6" s="6"/>
      <c r="Z6" s="6"/>
      <c r="AA6" s="6"/>
      <c r="AB6" s="6"/>
      <c r="AC6" s="6"/>
      <c r="AD6" s="6"/>
      <c r="AE6" s="6"/>
      <c r="AF6" s="6"/>
      <c r="AG6" s="6"/>
      <c r="AH6" s="6"/>
      <c r="AI6" s="6"/>
      <c r="AJ6" s="4" t="s">
        <v>68</v>
      </c>
      <c r="AK6" s="4" t="s">
        <v>69</v>
      </c>
      <c r="AL6" s="4" t="s">
        <v>42</v>
      </c>
      <c r="AM6" s="4" t="s">
        <v>134</v>
      </c>
      <c r="AN6" s="6"/>
      <c r="AO6" s="4" t="s">
        <v>65</v>
      </c>
      <c r="AP6" s="6"/>
      <c r="AQ6" s="6"/>
      <c r="AR6" s="6"/>
      <c r="AS6" s="6"/>
      <c r="AT6" s="6"/>
      <c r="AU6" s="6"/>
      <c r="AV6" s="6"/>
      <c r="AW6" s="6"/>
      <c r="AX6" s="6"/>
      <c r="AY6" s="6"/>
      <c r="AZ6" s="6"/>
      <c r="BA6" s="6"/>
      <c r="BB6" s="6"/>
      <c r="BC6" s="6"/>
    </row>
    <row r="7">
      <c r="A7" s="3">
        <v>46026.986482465276</v>
      </c>
      <c r="B7" s="4" t="s">
        <v>70</v>
      </c>
      <c r="C7" s="4" t="s">
        <v>51</v>
      </c>
      <c r="D7" s="4" t="s">
        <v>71</v>
      </c>
      <c r="E7" s="4" t="s">
        <v>36</v>
      </c>
      <c r="F7" s="4" t="s">
        <v>73</v>
      </c>
      <c r="G7" s="4" t="s">
        <v>72</v>
      </c>
      <c r="H7" s="6"/>
      <c r="I7" s="6"/>
      <c r="J7" s="6"/>
      <c r="K7" s="6"/>
      <c r="L7" s="6"/>
      <c r="M7" s="6"/>
      <c r="N7" s="4" t="s">
        <v>46</v>
      </c>
      <c r="O7" s="6"/>
      <c r="P7" s="6"/>
      <c r="Q7" s="6"/>
      <c r="R7" s="6"/>
      <c r="S7" s="6"/>
      <c r="T7" s="6"/>
      <c r="U7" s="6"/>
      <c r="V7" s="4" t="s">
        <v>53</v>
      </c>
      <c r="W7" s="4" t="s">
        <v>75</v>
      </c>
      <c r="X7" s="6"/>
      <c r="Y7" s="6"/>
      <c r="Z7" s="6"/>
      <c r="AA7" s="6"/>
      <c r="AB7" s="6"/>
      <c r="AC7" s="6"/>
      <c r="AD7" s="6"/>
      <c r="AE7" s="6"/>
      <c r="AF7" s="6"/>
      <c r="AG7" s="6"/>
      <c r="AH7" s="6"/>
      <c r="AI7" s="6"/>
      <c r="AJ7" s="4" t="s">
        <v>76</v>
      </c>
      <c r="AK7" s="6"/>
      <c r="AL7" s="4" t="s">
        <v>42</v>
      </c>
      <c r="AM7" s="4" t="s">
        <v>134</v>
      </c>
      <c r="AN7" s="6"/>
      <c r="AO7" s="4" t="s">
        <v>74</v>
      </c>
      <c r="AP7" s="6"/>
      <c r="AQ7" s="6"/>
      <c r="AR7" s="6"/>
      <c r="AS7" s="6"/>
      <c r="AT7" s="6"/>
      <c r="AU7" s="6"/>
      <c r="AV7" s="6"/>
      <c r="AW7" s="6"/>
      <c r="AX7" s="6"/>
      <c r="AY7" s="6"/>
      <c r="AZ7" s="6"/>
      <c r="BA7" s="6"/>
      <c r="BB7" s="6"/>
      <c r="BC7" s="6"/>
    </row>
    <row r="8">
      <c r="A8" s="3">
        <v>46027.10575982639</v>
      </c>
      <c r="B8" s="4" t="s">
        <v>77</v>
      </c>
      <c r="C8" s="4" t="s">
        <v>32</v>
      </c>
      <c r="D8" s="4" t="s">
        <v>63</v>
      </c>
      <c r="E8" s="4" t="s">
        <v>36</v>
      </c>
      <c r="F8" s="4" t="s">
        <v>79</v>
      </c>
      <c r="G8" s="4" t="s">
        <v>78</v>
      </c>
      <c r="H8" s="6"/>
      <c r="I8" s="6"/>
      <c r="J8" s="6"/>
      <c r="K8" s="6"/>
      <c r="L8" s="6"/>
      <c r="M8" s="6"/>
      <c r="N8" s="4" t="s">
        <v>46</v>
      </c>
      <c r="O8" s="6"/>
      <c r="P8" s="6"/>
      <c r="Q8" s="6"/>
      <c r="R8" s="6"/>
      <c r="S8" s="4" t="s">
        <v>53</v>
      </c>
      <c r="T8" s="6"/>
      <c r="U8" s="6"/>
      <c r="V8" s="6"/>
      <c r="W8" s="4" t="s">
        <v>81</v>
      </c>
      <c r="X8" s="6"/>
      <c r="Y8" s="6"/>
      <c r="Z8" s="6"/>
      <c r="AA8" s="6"/>
      <c r="AB8" s="6"/>
      <c r="AC8" s="6"/>
      <c r="AD8" s="6"/>
      <c r="AE8" s="6"/>
      <c r="AF8" s="6"/>
      <c r="AG8" s="6"/>
      <c r="AH8" s="6"/>
      <c r="AI8" s="6"/>
      <c r="AJ8" s="4" t="s">
        <v>82</v>
      </c>
      <c r="AK8" s="4" t="s">
        <v>83</v>
      </c>
      <c r="AL8" s="4" t="s">
        <v>42</v>
      </c>
      <c r="AM8" s="4" t="s">
        <v>134</v>
      </c>
      <c r="AN8" s="6"/>
      <c r="AO8" s="4" t="s">
        <v>80</v>
      </c>
      <c r="AP8" s="6"/>
      <c r="AQ8" s="6"/>
      <c r="AR8" s="6"/>
      <c r="AS8" s="6"/>
      <c r="AT8" s="6"/>
      <c r="AU8" s="6"/>
      <c r="AV8" s="6"/>
      <c r="AW8" s="6"/>
      <c r="AX8" s="6"/>
      <c r="AY8" s="6"/>
      <c r="AZ8" s="6"/>
      <c r="BA8" s="6"/>
      <c r="BB8" s="6"/>
      <c r="BC8" s="6"/>
    </row>
    <row r="9">
      <c r="A9" s="3">
        <v>46027.38167475694</v>
      </c>
      <c r="B9" s="4" t="s">
        <v>84</v>
      </c>
      <c r="C9" s="4" t="s">
        <v>51</v>
      </c>
      <c r="D9" s="4" t="s">
        <v>33</v>
      </c>
      <c r="E9" s="4" t="s">
        <v>36</v>
      </c>
      <c r="F9" s="4" t="s">
        <v>86</v>
      </c>
      <c r="G9" s="4" t="s">
        <v>85</v>
      </c>
      <c r="H9" s="6"/>
      <c r="I9" s="6"/>
      <c r="J9" s="6"/>
      <c r="K9" s="6"/>
      <c r="L9" s="6"/>
      <c r="M9" s="6"/>
      <c r="N9" s="4" t="s">
        <v>88</v>
      </c>
      <c r="O9" s="6"/>
      <c r="P9" s="6"/>
      <c r="Q9" s="6"/>
      <c r="R9" s="6"/>
      <c r="S9" s="6"/>
      <c r="T9" s="6"/>
      <c r="U9" s="6"/>
      <c r="V9" s="6"/>
      <c r="W9" s="4" t="s">
        <v>89</v>
      </c>
      <c r="X9" s="6"/>
      <c r="Y9" s="6"/>
      <c r="Z9" s="6"/>
      <c r="AA9" s="6"/>
      <c r="AB9" s="6"/>
      <c r="AC9" s="6"/>
      <c r="AD9" s="6"/>
      <c r="AE9" s="6"/>
      <c r="AF9" s="6"/>
      <c r="AG9" s="6"/>
      <c r="AH9" s="6"/>
      <c r="AI9" s="6"/>
      <c r="AJ9" s="4" t="s">
        <v>90</v>
      </c>
      <c r="AK9" s="6"/>
      <c r="AL9" s="4" t="s">
        <v>42</v>
      </c>
      <c r="AM9" s="4" t="s">
        <v>134</v>
      </c>
      <c r="AN9" s="6"/>
      <c r="AO9" s="4" t="s">
        <v>87</v>
      </c>
      <c r="AP9" s="6"/>
      <c r="AQ9" s="6"/>
      <c r="AR9" s="6"/>
      <c r="AS9" s="6"/>
      <c r="AT9" s="6"/>
      <c r="AU9" s="6"/>
      <c r="AV9" s="6"/>
      <c r="AW9" s="6"/>
      <c r="AX9" s="6"/>
      <c r="AY9" s="6"/>
      <c r="AZ9" s="6"/>
      <c r="BA9" s="6"/>
      <c r="BB9" s="6"/>
      <c r="BC9" s="6"/>
    </row>
    <row r="10">
      <c r="A10" s="3">
        <v>46027.476546087964</v>
      </c>
      <c r="B10" s="4" t="s">
        <v>91</v>
      </c>
      <c r="C10" s="4" t="s">
        <v>92</v>
      </c>
      <c r="D10" s="4" t="s">
        <v>93</v>
      </c>
      <c r="E10" s="4" t="s">
        <v>36</v>
      </c>
      <c r="F10" s="4" t="s">
        <v>95</v>
      </c>
      <c r="G10" s="4" t="s">
        <v>94</v>
      </c>
      <c r="H10" s="6"/>
      <c r="I10" s="6"/>
      <c r="J10" s="6"/>
      <c r="K10" s="6"/>
      <c r="L10" s="6"/>
      <c r="M10" s="6"/>
      <c r="N10" s="4" t="s">
        <v>46</v>
      </c>
      <c r="O10" s="4" t="s">
        <v>53</v>
      </c>
      <c r="P10" s="6"/>
      <c r="Q10" s="4" t="s">
        <v>53</v>
      </c>
      <c r="R10" s="4" t="s">
        <v>53</v>
      </c>
      <c r="S10" s="6"/>
      <c r="T10" s="6"/>
      <c r="U10" s="6"/>
      <c r="V10" s="4" t="s">
        <v>53</v>
      </c>
      <c r="W10" s="4" t="s">
        <v>97</v>
      </c>
      <c r="X10" s="6"/>
      <c r="Y10" s="6"/>
      <c r="Z10" s="6"/>
      <c r="AA10" s="6"/>
      <c r="AB10" s="6"/>
      <c r="AC10" s="6"/>
      <c r="AD10" s="6"/>
      <c r="AE10" s="6"/>
      <c r="AF10" s="6"/>
      <c r="AG10" s="6"/>
      <c r="AH10" s="6"/>
      <c r="AI10" s="6"/>
      <c r="AJ10" s="4" t="s">
        <v>98</v>
      </c>
      <c r="AK10" s="4" t="s">
        <v>99</v>
      </c>
      <c r="AL10" s="4" t="s">
        <v>42</v>
      </c>
      <c r="AM10" s="4" t="s">
        <v>134</v>
      </c>
      <c r="AN10" s="6"/>
      <c r="AO10" s="4" t="s">
        <v>96</v>
      </c>
      <c r="AP10" s="6"/>
      <c r="AQ10" s="6"/>
      <c r="AR10" s="6"/>
      <c r="AS10" s="6"/>
      <c r="AT10" s="6"/>
      <c r="AU10" s="6"/>
      <c r="AV10" s="6"/>
      <c r="AW10" s="6"/>
      <c r="AX10" s="6"/>
      <c r="AY10" s="6"/>
      <c r="AZ10" s="6"/>
      <c r="BA10" s="6"/>
      <c r="BB10" s="6"/>
      <c r="BC10" s="6"/>
    </row>
    <row r="11">
      <c r="A11" s="3">
        <v>46032.00631332176</v>
      </c>
      <c r="B11" s="4" t="s">
        <v>100</v>
      </c>
      <c r="C11" s="4" t="s">
        <v>102</v>
      </c>
      <c r="D11" s="4" t="s">
        <v>103</v>
      </c>
      <c r="E11" s="4" t="s">
        <v>36</v>
      </c>
      <c r="F11" s="4" t="s">
        <v>79</v>
      </c>
      <c r="G11" s="4" t="s">
        <v>104</v>
      </c>
      <c r="H11" s="6"/>
      <c r="I11" s="6"/>
      <c r="J11" s="6"/>
      <c r="K11" s="6"/>
      <c r="L11" s="6"/>
      <c r="M11" s="6"/>
      <c r="N11" s="4" t="s">
        <v>46</v>
      </c>
      <c r="O11" s="4" t="s">
        <v>53</v>
      </c>
      <c r="P11" s="6"/>
      <c r="Q11" s="6"/>
      <c r="R11" s="4" t="s">
        <v>53</v>
      </c>
      <c r="S11" s="6"/>
      <c r="T11" s="4" t="s">
        <v>53</v>
      </c>
      <c r="U11" s="4" t="s">
        <v>53</v>
      </c>
      <c r="V11" s="6"/>
      <c r="W11" s="4" t="s">
        <v>106</v>
      </c>
      <c r="X11" s="6"/>
      <c r="Y11" s="6"/>
      <c r="Z11" s="6"/>
      <c r="AA11" s="6"/>
      <c r="AB11" s="6"/>
      <c r="AC11" s="6"/>
      <c r="AD11" s="6"/>
      <c r="AE11" s="6"/>
      <c r="AF11" s="6"/>
      <c r="AG11" s="6"/>
      <c r="AH11" s="6"/>
      <c r="AI11" s="6"/>
      <c r="AJ11" s="4" t="s">
        <v>107</v>
      </c>
      <c r="AK11" s="6"/>
      <c r="AL11" s="4" t="s">
        <v>108</v>
      </c>
      <c r="AM11" s="4" t="s">
        <v>101</v>
      </c>
      <c r="AN11" s="6"/>
      <c r="AO11" s="4" t="s">
        <v>105</v>
      </c>
      <c r="AP11" s="6"/>
      <c r="AQ11" s="6"/>
      <c r="AR11" s="6"/>
      <c r="AS11" s="6"/>
      <c r="AT11" s="6"/>
      <c r="AU11" s="6"/>
      <c r="AV11" s="6"/>
      <c r="AW11" s="6"/>
      <c r="AX11" s="6"/>
      <c r="AY11" s="6"/>
      <c r="AZ11" s="6"/>
      <c r="BA11" s="6"/>
      <c r="BB11" s="6"/>
      <c r="BC11" s="6"/>
    </row>
    <row r="12">
      <c r="A12" s="7"/>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row>
    <row r="13">
      <c r="A13" s="7"/>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c r="A14" s="7"/>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c r="A15" s="7"/>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c r="A16" s="7"/>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c r="A17" s="7"/>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c r="A18" s="7"/>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c r="A19" s="7"/>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row>
    <row r="20">
      <c r="A20" s="7"/>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row>
    <row r="21">
      <c r="A21" s="7"/>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c r="A22" s="7"/>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c r="A23" s="7"/>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c r="A24" s="7"/>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c r="A25" s="7"/>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c r="A26" s="7"/>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c r="A27" s="7"/>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row>
    <row r="28">
      <c r="A28" s="7"/>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row>
    <row r="29">
      <c r="A29" s="7"/>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row>
    <row r="30">
      <c r="A30" s="7"/>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row>
    <row r="31">
      <c r="A31" s="7"/>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row>
    <row r="32">
      <c r="A32" s="7"/>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row>
    <row r="33">
      <c r="A33" s="7"/>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row>
    <row r="34">
      <c r="A34" s="7"/>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row>
    <row r="35">
      <c r="A35" s="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row>
    <row r="36">
      <c r="A36" s="7"/>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c r="A37" s="7"/>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c r="A38" s="7"/>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c r="A39" s="7"/>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c r="A40" s="7"/>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row>
    <row r="41">
      <c r="A41" s="7"/>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c r="A42" s="7"/>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row>
    <row r="43">
      <c r="A43" s="7"/>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c r="A44" s="7"/>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c r="A45" s="7"/>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c r="A46" s="7"/>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c r="A47" s="7"/>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c r="A48" s="7"/>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c r="A49" s="7"/>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c r="A50" s="7"/>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c r="A51" s="7"/>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c r="A52" s="7"/>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c r="A53" s="7"/>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c r="A54" s="7"/>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c r="A55" s="7"/>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c r="A56" s="7"/>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c r="A57" s="7"/>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c r="A58" s="7"/>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c r="A59" s="7"/>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c r="A60" s="7"/>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c r="A61" s="7"/>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c r="A62" s="7"/>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c r="A64" s="7"/>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c r="A65" s="7"/>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c r="A66" s="7"/>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c r="A67" s="7"/>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c r="A68" s="7"/>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c r="A69" s="7"/>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c r="A70" s="7"/>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c r="A71" s="7"/>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c r="A72" s="7"/>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c r="A73" s="7"/>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c r="A74" s="7"/>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c r="A75" s="7"/>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c r="A76" s="7"/>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c r="A77" s="7"/>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c r="A78" s="7"/>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c r="A79" s="7"/>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c r="A80" s="7"/>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c r="A81" s="7"/>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c r="A82" s="7"/>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c r="A83" s="7"/>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c r="A84" s="7"/>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c r="A85" s="7"/>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c r="A86" s="7"/>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c r="A87" s="7"/>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c r="A88" s="7"/>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c r="A89" s="7"/>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c r="A90" s="7"/>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c r="A91" s="7"/>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c r="A92" s="7"/>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c r="A93" s="7"/>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c r="A94" s="7"/>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c r="A95" s="7"/>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c r="A96" s="7"/>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c r="A97" s="7"/>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c r="A98" s="7"/>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c r="A99" s="7"/>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c r="A100" s="7"/>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c r="A101" s="7"/>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c r="A102" s="7"/>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c r="A103" s="7"/>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c r="A104" s="7"/>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c r="A105" s="7"/>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row>
    <row r="106">
      <c r="A106" s="7"/>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row>
    <row r="107">
      <c r="A107" s="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row>
    <row r="108">
      <c r="A108" s="7"/>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row>
    <row r="109">
      <c r="A109" s="7"/>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row>
    <row r="110">
      <c r="A110" s="7"/>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row>
    <row r="111">
      <c r="A111" s="7"/>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row>
    <row r="112">
      <c r="A112" s="7"/>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row>
    <row r="113">
      <c r="A113" s="7"/>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row>
    <row r="114">
      <c r="A114" s="7"/>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row>
    <row r="115">
      <c r="A115" s="7"/>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row>
    <row r="116">
      <c r="A116" s="7"/>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row>
    <row r="117">
      <c r="A117" s="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row>
    <row r="118">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row>
    <row r="119">
      <c r="A119" s="7"/>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row>
    <row r="120">
      <c r="A120" s="7"/>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row>
    <row r="121">
      <c r="A121" s="7"/>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row>
    <row r="122">
      <c r="A122" s="7"/>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row>
    <row r="123">
      <c r="A123" s="7"/>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row>
    <row r="124">
      <c r="A124" s="7"/>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row>
    <row r="125">
      <c r="A125" s="7"/>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row>
    <row r="126">
      <c r="A126" s="7"/>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row>
    <row r="127">
      <c r="A127" s="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row>
    <row r="128">
      <c r="A128" s="7"/>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row>
    <row r="129">
      <c r="A129" s="7"/>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row>
    <row r="130">
      <c r="A130" s="7"/>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row>
    <row r="131">
      <c r="A131" s="7"/>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row>
    <row r="132">
      <c r="A132" s="7"/>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row>
    <row r="133">
      <c r="A133" s="7"/>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row>
    <row r="134">
      <c r="A134" s="7"/>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row>
    <row r="135">
      <c r="A135" s="7"/>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row>
    <row r="136">
      <c r="A136" s="7"/>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row>
    <row r="137">
      <c r="A137" s="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row>
    <row r="138">
      <c r="A138" s="7"/>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row>
    <row r="139">
      <c r="A139" s="7"/>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row>
    <row r="140">
      <c r="A140" s="7"/>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row>
    <row r="141">
      <c r="A141" s="7"/>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row>
    <row r="142">
      <c r="A142" s="7"/>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row>
    <row r="143">
      <c r="A143" s="7"/>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row>
    <row r="144">
      <c r="A144" s="7"/>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row>
    <row r="145">
      <c r="A145" s="7"/>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row>
    <row r="146">
      <c r="A146" s="7"/>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row>
    <row r="147">
      <c r="A147" s="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row>
    <row r="148">
      <c r="A148" s="7"/>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row>
    <row r="149">
      <c r="A149" s="7"/>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row>
    <row r="150">
      <c r="A150" s="7"/>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row>
    <row r="151">
      <c r="A151" s="7"/>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row>
    <row r="152">
      <c r="A152" s="7"/>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row>
    <row r="153">
      <c r="A153" s="7"/>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row>
    <row r="154">
      <c r="A154" s="7"/>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row>
    <row r="155">
      <c r="A155" s="7"/>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row>
    <row r="156">
      <c r="A156" s="7"/>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row>
    <row r="157">
      <c r="A157" s="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row>
    <row r="158">
      <c r="A158" s="7"/>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row>
    <row r="159">
      <c r="A159" s="7"/>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row>
    <row r="160">
      <c r="A160" s="7"/>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row>
    <row r="161">
      <c r="A161" s="7"/>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row>
    <row r="162">
      <c r="A162" s="7"/>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row>
    <row r="163">
      <c r="A163" s="7"/>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row>
    <row r="164">
      <c r="A164" s="7"/>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row>
    <row r="165">
      <c r="A165" s="7"/>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row>
    <row r="166">
      <c r="A166" s="7"/>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row>
    <row r="167">
      <c r="A167" s="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row>
    <row r="168">
      <c r="A168" s="7"/>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row>
    <row r="169">
      <c r="A169" s="7"/>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row>
    <row r="170">
      <c r="A170" s="7"/>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row>
    <row r="171">
      <c r="A171" s="7"/>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row>
    <row r="172">
      <c r="A172" s="7"/>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row>
    <row r="173">
      <c r="A173" s="7"/>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row>
    <row r="174">
      <c r="A174" s="7"/>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row>
    <row r="175">
      <c r="A175" s="7"/>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row>
    <row r="176">
      <c r="A176" s="7"/>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row>
    <row r="177">
      <c r="A177" s="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row>
    <row r="178">
      <c r="A178" s="7"/>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row>
    <row r="179">
      <c r="A179" s="7"/>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row>
    <row r="180">
      <c r="A180" s="7"/>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row>
    <row r="181">
      <c r="A181" s="7"/>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row>
    <row r="182">
      <c r="A182" s="7"/>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row>
    <row r="183">
      <c r="A183" s="7"/>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row>
    <row r="184">
      <c r="A184" s="7"/>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row>
    <row r="185">
      <c r="A185" s="7"/>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row>
    <row r="186">
      <c r="A186" s="7"/>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row>
    <row r="187">
      <c r="A187" s="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row>
    <row r="188">
      <c r="A188" s="7"/>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row>
    <row r="189">
      <c r="A189" s="7"/>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row>
    <row r="190">
      <c r="A190" s="7"/>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row>
    <row r="191">
      <c r="A191" s="7"/>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row>
    <row r="192">
      <c r="A192" s="7"/>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row>
    <row r="193">
      <c r="A193" s="7"/>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row>
    <row r="194">
      <c r="A194" s="7"/>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row>
    <row r="195">
      <c r="A195" s="7"/>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row>
    <row r="196">
      <c r="A196" s="7"/>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row>
    <row r="197">
      <c r="A197" s="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row>
    <row r="198">
      <c r="A198" s="7"/>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row>
    <row r="199">
      <c r="A199" s="7"/>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row>
    <row r="200">
      <c r="A200" s="7"/>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row>
    <row r="201">
      <c r="A201" s="7"/>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row>
    <row r="202">
      <c r="A202" s="7"/>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row>
    <row r="203">
      <c r="A203" s="7"/>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row>
    <row r="204">
      <c r="A204" s="7"/>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row>
    <row r="205">
      <c r="A205" s="7"/>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row>
    <row r="206">
      <c r="A206" s="7"/>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row>
    <row r="207">
      <c r="A207" s="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row>
    <row r="208">
      <c r="A208" s="7"/>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row>
    <row r="209">
      <c r="A209" s="7"/>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row>
    <row r="210">
      <c r="A210" s="7"/>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row>
    <row r="211">
      <c r="A211" s="7"/>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row>
    <row r="212">
      <c r="A212" s="7"/>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row>
    <row r="213">
      <c r="A213" s="7"/>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row>
    <row r="214">
      <c r="A214" s="7"/>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row>
    <row r="215">
      <c r="A215" s="7"/>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row>
    <row r="216">
      <c r="A216" s="7"/>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row>
    <row r="217">
      <c r="A217" s="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row>
    <row r="218">
      <c r="A218" s="7"/>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row>
    <row r="219">
      <c r="A219" s="7"/>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row>
    <row r="220">
      <c r="A220" s="7"/>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row>
    <row r="221">
      <c r="A221" s="7"/>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row>
    <row r="222">
      <c r="A222" s="7"/>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row>
    <row r="223">
      <c r="A223" s="7"/>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row>
    <row r="224">
      <c r="A224" s="7"/>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row>
    <row r="225">
      <c r="A225" s="7"/>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row>
    <row r="226">
      <c r="A226" s="7"/>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row>
    <row r="227">
      <c r="A227" s="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row>
    <row r="228">
      <c r="A228" s="7"/>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row>
    <row r="229">
      <c r="A229" s="7"/>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row>
    <row r="230">
      <c r="A230" s="7"/>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row>
    <row r="231">
      <c r="A231" s="7"/>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row>
    <row r="232">
      <c r="A232" s="7"/>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row>
    <row r="233">
      <c r="A233" s="7"/>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row>
    <row r="234">
      <c r="A234" s="7"/>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row>
    <row r="235">
      <c r="A235" s="7"/>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row>
    <row r="236">
      <c r="A236" s="7"/>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row>
    <row r="237">
      <c r="A237" s="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row>
    <row r="238">
      <c r="A238" s="7"/>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row>
    <row r="239">
      <c r="A239" s="7"/>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row>
    <row r="240">
      <c r="A240" s="7"/>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row>
    <row r="241">
      <c r="A241" s="7"/>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row>
    <row r="242">
      <c r="A242" s="7"/>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row>
    <row r="243">
      <c r="A243" s="7"/>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row>
    <row r="244">
      <c r="A244" s="7"/>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row>
    <row r="245">
      <c r="A245" s="7"/>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row>
    <row r="246">
      <c r="A246" s="7"/>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row>
    <row r="247">
      <c r="A247" s="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row>
    <row r="248">
      <c r="A248" s="7"/>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row>
    <row r="249">
      <c r="A249" s="7"/>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row>
    <row r="250">
      <c r="A250" s="7"/>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row>
    <row r="251">
      <c r="A251" s="7"/>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row>
    <row r="252">
      <c r="A252" s="7"/>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row>
    <row r="253">
      <c r="A253" s="7"/>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row>
    <row r="254">
      <c r="A254" s="7"/>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row>
    <row r="255">
      <c r="A255" s="7"/>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row>
    <row r="256">
      <c r="A256" s="7"/>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row>
    <row r="257">
      <c r="A257" s="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row>
    <row r="258">
      <c r="A258" s="7"/>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row>
    <row r="259">
      <c r="A259" s="7"/>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row>
    <row r="260">
      <c r="A260" s="7"/>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row>
    <row r="261">
      <c r="A261" s="7"/>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row>
    <row r="262">
      <c r="A262" s="7"/>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row>
    <row r="263">
      <c r="A263" s="7"/>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row>
    <row r="264">
      <c r="A264" s="7"/>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row>
    <row r="265">
      <c r="A265" s="7"/>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row>
    <row r="266">
      <c r="A266" s="7"/>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row>
    <row r="267">
      <c r="A267" s="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row>
    <row r="268">
      <c r="A268" s="7"/>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row>
    <row r="269">
      <c r="A269" s="7"/>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row>
    <row r="270">
      <c r="A270" s="7"/>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row>
    <row r="271">
      <c r="A271" s="7"/>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row>
    <row r="272">
      <c r="A272" s="7"/>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row>
    <row r="273">
      <c r="A273" s="7"/>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row>
    <row r="274">
      <c r="A274" s="7"/>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row>
    <row r="275">
      <c r="A275" s="7"/>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c r="A276" s="7"/>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c r="A277" s="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c r="A278" s="7"/>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c r="A279" s="7"/>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c r="A280" s="7"/>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row>
    <row r="281">
      <c r="A281" s="7"/>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row>
    <row r="282">
      <c r="A282" s="7"/>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row>
    <row r="283">
      <c r="A283" s="7"/>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row>
    <row r="284">
      <c r="A284" s="7"/>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row>
    <row r="285">
      <c r="A285" s="7"/>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row>
    <row r="286">
      <c r="A286" s="7"/>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row>
    <row r="287">
      <c r="A287" s="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row>
    <row r="288">
      <c r="A288" s="7"/>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row>
    <row r="289">
      <c r="A289" s="7"/>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row>
    <row r="290">
      <c r="A290" s="7"/>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row>
    <row r="291">
      <c r="A291" s="7"/>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row>
    <row r="292">
      <c r="A292" s="7"/>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row>
    <row r="293">
      <c r="A293" s="7"/>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row>
    <row r="294">
      <c r="A294" s="7"/>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row>
    <row r="295">
      <c r="A295" s="7"/>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row>
    <row r="296">
      <c r="A296" s="7"/>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row>
    <row r="297">
      <c r="A297" s="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row>
    <row r="298">
      <c r="A298" s="7"/>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row>
    <row r="299">
      <c r="A299" s="7"/>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row>
    <row r="300">
      <c r="A300" s="7"/>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row>
    <row r="301">
      <c r="A301" s="7"/>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row>
    <row r="302">
      <c r="A302" s="7"/>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row>
    <row r="303">
      <c r="A303" s="7"/>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row>
    <row r="304">
      <c r="A304" s="7"/>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row>
    <row r="305">
      <c r="A305" s="7"/>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row>
    <row r="306">
      <c r="A306" s="7"/>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row>
    <row r="307">
      <c r="A307" s="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row>
    <row r="308">
      <c r="A308" s="7"/>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row>
    <row r="309">
      <c r="A309" s="7"/>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row>
    <row r="310">
      <c r="A310" s="7"/>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row>
    <row r="311">
      <c r="A311" s="7"/>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row>
    <row r="312">
      <c r="A312" s="7"/>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row>
    <row r="313">
      <c r="A313" s="7"/>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row>
    <row r="314">
      <c r="A314" s="7"/>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row>
    <row r="315">
      <c r="A315" s="7"/>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row>
    <row r="316">
      <c r="A316" s="7"/>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row>
    <row r="317">
      <c r="A317" s="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row>
    <row r="318">
      <c r="A318" s="7"/>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row>
    <row r="319">
      <c r="A319" s="7"/>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row>
    <row r="320">
      <c r="A320" s="7"/>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row>
    <row r="321">
      <c r="A321" s="7"/>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row>
    <row r="322">
      <c r="A322" s="7"/>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row>
    <row r="323">
      <c r="A323" s="7"/>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row>
    <row r="324">
      <c r="A324" s="7"/>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c r="A325" s="7"/>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c r="A326" s="7"/>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c r="A327" s="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c r="A328" s="7"/>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c r="A329" s="7"/>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c r="A330" s="7"/>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row>
    <row r="331">
      <c r="A331" s="7"/>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row>
    <row r="332">
      <c r="A332" s="7"/>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row>
    <row r="333">
      <c r="A333" s="7"/>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row>
    <row r="334">
      <c r="A334" s="7"/>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row>
    <row r="335">
      <c r="A335" s="7"/>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row>
    <row r="336">
      <c r="A336" s="7"/>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row>
    <row r="337">
      <c r="A337" s="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row>
    <row r="338">
      <c r="A338" s="7"/>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row>
    <row r="339">
      <c r="A339" s="7"/>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row>
    <row r="340">
      <c r="A340" s="7"/>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row>
    <row r="341">
      <c r="A341" s="7"/>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row>
    <row r="342">
      <c r="A342" s="7"/>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row>
    <row r="343">
      <c r="A343" s="7"/>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c r="A344" s="7"/>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c r="A345" s="7"/>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c r="A346" s="7"/>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c r="A347" s="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c r="A348" s="7"/>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c r="A349" s="7"/>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c r="A350" s="7"/>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c r="A351" s="7"/>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c r="A352" s="7"/>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row>
    <row r="353">
      <c r="A353" s="7"/>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row>
    <row r="354">
      <c r="A354" s="7"/>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row>
    <row r="355">
      <c r="A355" s="7"/>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row>
    <row r="356">
      <c r="A356" s="7"/>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row>
    <row r="357">
      <c r="A357" s="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row>
    <row r="358">
      <c r="A358" s="7"/>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row>
    <row r="359">
      <c r="A359" s="7"/>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row>
    <row r="360">
      <c r="A360" s="7"/>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row>
    <row r="361">
      <c r="A361" s="7"/>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row>
    <row r="362">
      <c r="A362" s="7"/>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row>
    <row r="363">
      <c r="A363" s="7"/>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row>
    <row r="364">
      <c r="A364" s="7"/>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row>
    <row r="365">
      <c r="A365" s="7"/>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row>
    <row r="366">
      <c r="A366" s="7"/>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row>
    <row r="367">
      <c r="A367" s="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row>
    <row r="368">
      <c r="A368" s="7"/>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row>
    <row r="369">
      <c r="A369" s="7"/>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row>
    <row r="370">
      <c r="A370" s="7"/>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row>
    <row r="371">
      <c r="A371" s="7"/>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row>
    <row r="372">
      <c r="A372" s="7"/>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row>
    <row r="373">
      <c r="A373" s="7"/>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row>
    <row r="374">
      <c r="A374" s="7"/>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row>
    <row r="375">
      <c r="A375" s="7"/>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row>
    <row r="376">
      <c r="A376" s="7"/>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row>
    <row r="377">
      <c r="A377" s="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row>
    <row r="378">
      <c r="A378" s="7"/>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row>
    <row r="379">
      <c r="A379" s="7"/>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row>
    <row r="380">
      <c r="A380" s="7"/>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row>
    <row r="381">
      <c r="A381" s="7"/>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row>
    <row r="382">
      <c r="A382" s="7"/>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row>
    <row r="383">
      <c r="A383" s="7"/>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row>
    <row r="384">
      <c r="A384" s="7"/>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row>
    <row r="385">
      <c r="A385" s="7"/>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row>
    <row r="386">
      <c r="A386" s="7"/>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row>
    <row r="387">
      <c r="A387" s="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row>
    <row r="388">
      <c r="A388" s="7"/>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row>
    <row r="389">
      <c r="A389" s="7"/>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row>
    <row r="390">
      <c r="A390" s="7"/>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row>
    <row r="391">
      <c r="A391" s="7"/>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row>
    <row r="392">
      <c r="A392" s="7"/>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row>
    <row r="393">
      <c r="A393" s="7"/>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row>
    <row r="394">
      <c r="A394" s="7"/>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row>
    <row r="395">
      <c r="A395" s="7"/>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row>
    <row r="396">
      <c r="A396" s="7"/>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row>
    <row r="397">
      <c r="A397" s="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row>
    <row r="398">
      <c r="A398" s="7"/>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row>
    <row r="399">
      <c r="A399" s="7"/>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row>
    <row r="400">
      <c r="A400" s="7"/>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row>
    <row r="401">
      <c r="A401" s="7"/>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row>
    <row r="402">
      <c r="A402" s="7"/>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row>
    <row r="403">
      <c r="A403" s="7"/>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row>
    <row r="404">
      <c r="A404" s="7"/>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row>
    <row r="405">
      <c r="A405" s="7"/>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row>
    <row r="406">
      <c r="A406" s="7"/>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row>
    <row r="407">
      <c r="A407" s="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row>
    <row r="408">
      <c r="A408" s="7"/>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row>
    <row r="409">
      <c r="A409" s="7"/>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row>
    <row r="410">
      <c r="A410" s="7"/>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row>
    <row r="411">
      <c r="A411" s="7"/>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row>
    <row r="412">
      <c r="A412" s="7"/>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row>
    <row r="413">
      <c r="A413" s="7"/>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row>
    <row r="414">
      <c r="A414" s="7"/>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row>
    <row r="415">
      <c r="A415" s="7"/>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row>
    <row r="416">
      <c r="A416" s="7"/>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row>
    <row r="417">
      <c r="A417" s="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row>
    <row r="418">
      <c r="A418" s="7"/>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row>
    <row r="419">
      <c r="A419" s="7"/>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row>
    <row r="420">
      <c r="A420" s="7"/>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row>
    <row r="421">
      <c r="A421" s="7"/>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row>
    <row r="422">
      <c r="A422" s="7"/>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row>
    <row r="423">
      <c r="A423" s="7"/>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row>
    <row r="424">
      <c r="A424" s="7"/>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row>
    <row r="425">
      <c r="A425" s="7"/>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row>
    <row r="426">
      <c r="A426" s="7"/>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row>
    <row r="427">
      <c r="A427" s="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row>
    <row r="428">
      <c r="A428" s="7"/>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row>
    <row r="429">
      <c r="A429" s="7"/>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row>
    <row r="430">
      <c r="A430" s="7"/>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row>
    <row r="431">
      <c r="A431" s="7"/>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row>
    <row r="432">
      <c r="A432" s="7"/>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row>
    <row r="433">
      <c r="A433" s="7"/>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row>
    <row r="434">
      <c r="A434" s="7"/>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row>
    <row r="435">
      <c r="A435" s="7"/>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row>
    <row r="436">
      <c r="A436" s="7"/>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row>
    <row r="437">
      <c r="A437" s="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row>
    <row r="438">
      <c r="A438" s="7"/>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row>
    <row r="439">
      <c r="A439" s="7"/>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row>
    <row r="440">
      <c r="A440" s="7"/>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row>
    <row r="441">
      <c r="A441" s="7"/>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row>
    <row r="442">
      <c r="A442" s="7"/>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row>
    <row r="443">
      <c r="A443" s="7"/>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row>
    <row r="444">
      <c r="A444" s="7"/>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row>
    <row r="445">
      <c r="A445" s="7"/>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row>
    <row r="446">
      <c r="A446" s="7"/>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row>
    <row r="447">
      <c r="A447" s="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row>
    <row r="448">
      <c r="A448" s="7"/>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row>
    <row r="449">
      <c r="A449" s="7"/>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row>
    <row r="450">
      <c r="A450" s="7"/>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row>
    <row r="451">
      <c r="A451" s="7"/>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row>
    <row r="452">
      <c r="A452" s="7"/>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row>
    <row r="453">
      <c r="A453" s="7"/>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row>
    <row r="454">
      <c r="A454" s="7"/>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row>
    <row r="455">
      <c r="A455" s="7"/>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row>
    <row r="456">
      <c r="A456" s="7"/>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row>
    <row r="457">
      <c r="A457" s="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row>
    <row r="458">
      <c r="A458" s="7"/>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row>
    <row r="459">
      <c r="A459" s="7"/>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row>
    <row r="460">
      <c r="A460" s="7"/>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row>
    <row r="461">
      <c r="A461" s="7"/>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row>
    <row r="462">
      <c r="A462" s="7"/>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row>
    <row r="463">
      <c r="A463" s="7"/>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row>
    <row r="464">
      <c r="A464" s="7"/>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row>
    <row r="465">
      <c r="A465" s="7"/>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row>
    <row r="466">
      <c r="A466" s="7"/>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row>
    <row r="467">
      <c r="A467" s="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row>
    <row r="468">
      <c r="A468" s="7"/>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row>
    <row r="469">
      <c r="A469" s="7"/>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row>
    <row r="470">
      <c r="A470" s="7"/>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row>
    <row r="471">
      <c r="A471" s="7"/>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row>
    <row r="472">
      <c r="A472" s="7"/>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row>
    <row r="473">
      <c r="A473" s="7"/>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row>
    <row r="474">
      <c r="A474" s="7"/>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row>
    <row r="475">
      <c r="A475" s="7"/>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row>
    <row r="476">
      <c r="A476" s="7"/>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row>
    <row r="477">
      <c r="A477" s="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row>
    <row r="478">
      <c r="A478" s="7"/>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row>
    <row r="479">
      <c r="A479" s="7"/>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row>
    <row r="480">
      <c r="A480" s="7"/>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row>
    <row r="481">
      <c r="A481" s="7"/>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row>
    <row r="482">
      <c r="A482" s="7"/>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row>
    <row r="483">
      <c r="A483" s="7"/>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row>
    <row r="484">
      <c r="A484" s="7"/>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row>
    <row r="485">
      <c r="A485" s="7"/>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row>
    <row r="486">
      <c r="A486" s="7"/>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row>
    <row r="487">
      <c r="A487" s="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row>
    <row r="488">
      <c r="A488" s="7"/>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row>
    <row r="489">
      <c r="A489" s="7"/>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row>
    <row r="490">
      <c r="A490" s="7"/>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row>
    <row r="491">
      <c r="A491" s="7"/>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row>
    <row r="492">
      <c r="A492" s="7"/>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row>
    <row r="493">
      <c r="A493" s="7"/>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row>
    <row r="494">
      <c r="A494" s="7"/>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row>
    <row r="495">
      <c r="A495" s="7"/>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row>
    <row r="496">
      <c r="A496" s="7"/>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row>
    <row r="497">
      <c r="A497" s="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row>
    <row r="498">
      <c r="A498" s="7"/>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row>
    <row r="499">
      <c r="A499" s="7"/>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row>
    <row r="500">
      <c r="A500" s="7"/>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row>
    <row r="501">
      <c r="A501" s="7"/>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row>
    <row r="502">
      <c r="A502" s="7"/>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row>
    <row r="503">
      <c r="A503" s="7"/>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row>
    <row r="504">
      <c r="A504" s="7"/>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row>
    <row r="505">
      <c r="A505" s="7"/>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row>
    <row r="506">
      <c r="A506" s="7"/>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row>
    <row r="507">
      <c r="A507" s="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row>
    <row r="508">
      <c r="A508" s="7"/>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row>
    <row r="509">
      <c r="A509" s="7"/>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row>
    <row r="510">
      <c r="A510" s="7"/>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row>
    <row r="511">
      <c r="A511" s="7"/>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row>
    <row r="512">
      <c r="A512" s="7"/>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row>
    <row r="513">
      <c r="A513" s="7"/>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row>
    <row r="514">
      <c r="A514" s="7"/>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row>
    <row r="515">
      <c r="A515" s="7"/>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row>
    <row r="516">
      <c r="A516" s="7"/>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row>
    <row r="517">
      <c r="A517" s="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row>
    <row r="518">
      <c r="A518" s="7"/>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row>
    <row r="519">
      <c r="A519" s="7"/>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row>
    <row r="520">
      <c r="A520" s="7"/>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row>
    <row r="521">
      <c r="A521" s="7"/>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row>
    <row r="522">
      <c r="A522" s="7"/>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row>
    <row r="523">
      <c r="A523" s="7"/>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row>
    <row r="524">
      <c r="A524" s="7"/>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row>
    <row r="525">
      <c r="A525" s="7"/>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row>
    <row r="526">
      <c r="A526" s="7"/>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row>
    <row r="527">
      <c r="A527" s="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row>
    <row r="528">
      <c r="A528" s="7"/>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row>
    <row r="529">
      <c r="A529" s="7"/>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row>
    <row r="530">
      <c r="A530" s="7"/>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row>
    <row r="531">
      <c r="A531" s="7"/>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row>
    <row r="532">
      <c r="A532" s="7"/>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row>
    <row r="533">
      <c r="A533" s="7"/>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row>
    <row r="534">
      <c r="A534" s="7"/>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row>
    <row r="535">
      <c r="A535" s="7"/>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row>
    <row r="536">
      <c r="A536" s="7"/>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row>
    <row r="537">
      <c r="A537" s="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row>
    <row r="538">
      <c r="A538" s="7"/>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row>
    <row r="539">
      <c r="A539" s="7"/>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row>
    <row r="540">
      <c r="A540" s="7"/>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row>
    <row r="541">
      <c r="A541" s="7"/>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row>
    <row r="542">
      <c r="A542" s="7"/>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row>
    <row r="543">
      <c r="A543" s="7"/>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row>
    <row r="544">
      <c r="A544" s="7"/>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row>
    <row r="545">
      <c r="A545" s="7"/>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row>
    <row r="546">
      <c r="A546" s="7"/>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row>
    <row r="547">
      <c r="A547" s="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row>
    <row r="548">
      <c r="A548" s="7"/>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row>
    <row r="549">
      <c r="A549" s="7"/>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row>
    <row r="550">
      <c r="A550" s="7"/>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row>
    <row r="551">
      <c r="A551" s="7"/>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row>
    <row r="552">
      <c r="A552" s="7"/>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row>
    <row r="553">
      <c r="A553" s="7"/>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row>
    <row r="554">
      <c r="A554" s="7"/>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row>
    <row r="555">
      <c r="A555" s="7"/>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row>
    <row r="556">
      <c r="A556" s="7"/>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row>
    <row r="557">
      <c r="A557" s="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row>
    <row r="558">
      <c r="A558" s="7"/>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row>
    <row r="559">
      <c r="A559" s="7"/>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row>
    <row r="560">
      <c r="A560" s="7"/>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row>
    <row r="561">
      <c r="A561" s="7"/>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row>
    <row r="562">
      <c r="A562" s="7"/>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row>
    <row r="563">
      <c r="A563" s="7"/>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row>
    <row r="564">
      <c r="A564" s="7"/>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row>
    <row r="565">
      <c r="A565" s="7"/>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row>
    <row r="566">
      <c r="A566" s="7"/>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row>
    <row r="567">
      <c r="A567" s="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row>
    <row r="568">
      <c r="A568" s="7"/>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row>
    <row r="569">
      <c r="A569" s="7"/>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row>
    <row r="570">
      <c r="A570" s="7"/>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row>
    <row r="571">
      <c r="A571" s="7"/>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row>
    <row r="572">
      <c r="A572" s="7"/>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row>
    <row r="573">
      <c r="A573" s="7"/>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row>
    <row r="574">
      <c r="A574" s="7"/>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row>
    <row r="575">
      <c r="A575" s="7"/>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row>
    <row r="576">
      <c r="A576" s="7"/>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row>
    <row r="577">
      <c r="A577" s="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row>
    <row r="578">
      <c r="A578" s="7"/>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row>
    <row r="579">
      <c r="A579" s="7"/>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row>
    <row r="580">
      <c r="A580" s="7"/>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row>
    <row r="581">
      <c r="A581" s="7"/>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row>
    <row r="582">
      <c r="A582" s="7"/>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row>
    <row r="583">
      <c r="A583" s="7"/>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row>
    <row r="584">
      <c r="A584" s="7"/>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row>
    <row r="585">
      <c r="A585" s="7"/>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row>
    <row r="586">
      <c r="A586" s="7"/>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row>
    <row r="587">
      <c r="A587" s="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row>
    <row r="588">
      <c r="A588" s="7"/>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row>
    <row r="589">
      <c r="A589" s="7"/>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row>
    <row r="590">
      <c r="A590" s="7"/>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row>
    <row r="591">
      <c r="A591" s="7"/>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row>
    <row r="592">
      <c r="A592" s="7"/>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row>
    <row r="593">
      <c r="A593" s="7"/>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row>
    <row r="594">
      <c r="A594" s="7"/>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row>
    <row r="595">
      <c r="A595" s="7"/>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row>
    <row r="596">
      <c r="A596" s="7"/>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row>
    <row r="597">
      <c r="A597" s="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row>
    <row r="598">
      <c r="A598" s="7"/>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row>
    <row r="599">
      <c r="A599" s="7"/>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row>
    <row r="600">
      <c r="A600" s="7"/>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row>
    <row r="601">
      <c r="A601" s="7"/>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row>
    <row r="602">
      <c r="A602" s="7"/>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row>
    <row r="603">
      <c r="A603" s="7"/>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row>
    <row r="604">
      <c r="A604" s="7"/>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row>
    <row r="605">
      <c r="A605" s="7"/>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row>
    <row r="606">
      <c r="A606" s="7"/>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row>
    <row r="607">
      <c r="A607" s="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row>
    <row r="608">
      <c r="A608" s="7"/>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row>
    <row r="609">
      <c r="A609" s="7"/>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row>
    <row r="610">
      <c r="A610" s="7"/>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row>
    <row r="611">
      <c r="A611" s="7"/>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row>
    <row r="612">
      <c r="A612" s="7"/>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row>
    <row r="613">
      <c r="A613" s="7"/>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row>
    <row r="614">
      <c r="A614" s="7"/>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row>
    <row r="615">
      <c r="A615" s="7"/>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row>
    <row r="616">
      <c r="A616" s="7"/>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row>
    <row r="617">
      <c r="A617" s="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row>
    <row r="618">
      <c r="A618" s="7"/>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row>
    <row r="619">
      <c r="A619" s="7"/>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row>
    <row r="620">
      <c r="A620" s="7"/>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row>
    <row r="621">
      <c r="A621" s="7"/>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row>
    <row r="622">
      <c r="A622" s="7"/>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row>
    <row r="623">
      <c r="A623" s="7"/>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row>
    <row r="624">
      <c r="A624" s="7"/>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row>
    <row r="625">
      <c r="A625" s="7"/>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row>
    <row r="626">
      <c r="A626" s="7"/>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row>
    <row r="627">
      <c r="A627" s="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row>
    <row r="628">
      <c r="A628" s="7"/>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row>
    <row r="629">
      <c r="A629" s="7"/>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row>
    <row r="630">
      <c r="A630" s="7"/>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row>
    <row r="631">
      <c r="A631" s="7"/>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row>
    <row r="632">
      <c r="A632" s="7"/>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row>
    <row r="633">
      <c r="A633" s="7"/>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row>
    <row r="634">
      <c r="A634" s="7"/>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row>
    <row r="635">
      <c r="A635" s="7"/>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row>
    <row r="636">
      <c r="A636" s="7"/>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row>
    <row r="637">
      <c r="A637" s="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row>
    <row r="638">
      <c r="A638" s="7"/>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row>
    <row r="639">
      <c r="A639" s="7"/>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row>
    <row r="640">
      <c r="A640" s="7"/>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row>
    <row r="641">
      <c r="A641" s="7"/>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row>
    <row r="642">
      <c r="A642" s="7"/>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row>
    <row r="643">
      <c r="A643" s="7"/>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row>
    <row r="644">
      <c r="A644" s="7"/>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row>
    <row r="645">
      <c r="A645" s="7"/>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row>
    <row r="646">
      <c r="A646" s="7"/>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row>
    <row r="647">
      <c r="A647" s="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row>
    <row r="648">
      <c r="A648" s="7"/>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row>
    <row r="649">
      <c r="A649" s="7"/>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row>
    <row r="650">
      <c r="A650" s="7"/>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row>
    <row r="651">
      <c r="A651" s="7"/>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row>
    <row r="652">
      <c r="A652" s="7"/>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row>
    <row r="653">
      <c r="A653" s="7"/>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row>
    <row r="654">
      <c r="A654" s="7"/>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row>
    <row r="655">
      <c r="A655" s="7"/>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row>
    <row r="656">
      <c r="A656" s="7"/>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row>
    <row r="657">
      <c r="A657" s="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row>
    <row r="658">
      <c r="A658" s="7"/>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row>
    <row r="659">
      <c r="A659" s="7"/>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row>
    <row r="660">
      <c r="A660" s="7"/>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row>
    <row r="661">
      <c r="A661" s="7"/>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row>
    <row r="662">
      <c r="A662" s="7"/>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row>
    <row r="663">
      <c r="A663" s="7"/>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row>
    <row r="664">
      <c r="A664" s="7"/>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row>
    <row r="665">
      <c r="A665" s="7"/>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row>
    <row r="666">
      <c r="A666" s="7"/>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row>
    <row r="667">
      <c r="A667" s="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row>
    <row r="668">
      <c r="A668" s="7"/>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row>
    <row r="669">
      <c r="A669" s="7"/>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row>
    <row r="670">
      <c r="A670" s="7"/>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row>
    <row r="671">
      <c r="A671" s="7"/>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row>
    <row r="672">
      <c r="A672" s="7"/>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row>
    <row r="673">
      <c r="A673" s="7"/>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row>
    <row r="674">
      <c r="A674" s="7"/>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row>
    <row r="675">
      <c r="A675" s="7"/>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row>
    <row r="676">
      <c r="A676" s="7"/>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row>
    <row r="677">
      <c r="A677" s="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row>
    <row r="678">
      <c r="A678" s="7"/>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row>
    <row r="679">
      <c r="A679" s="7"/>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row>
    <row r="680">
      <c r="A680" s="7"/>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row>
    <row r="681">
      <c r="A681" s="7"/>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row>
    <row r="682">
      <c r="A682" s="7"/>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row>
    <row r="683">
      <c r="A683" s="7"/>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row>
    <row r="684">
      <c r="A684" s="7"/>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row>
    <row r="685">
      <c r="A685" s="7"/>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row>
    <row r="686">
      <c r="A686" s="7"/>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row>
    <row r="687">
      <c r="A687" s="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row>
    <row r="688">
      <c r="A688" s="7"/>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row>
    <row r="689">
      <c r="A689" s="7"/>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row>
    <row r="690">
      <c r="A690" s="7"/>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row>
    <row r="691">
      <c r="A691" s="7"/>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row>
    <row r="692">
      <c r="A692" s="7"/>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row>
    <row r="693">
      <c r="A693" s="7"/>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row>
    <row r="694">
      <c r="A694" s="7"/>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row>
    <row r="695">
      <c r="A695" s="7"/>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row>
    <row r="696">
      <c r="A696" s="7"/>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row>
    <row r="697">
      <c r="A697" s="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row>
    <row r="698">
      <c r="A698" s="7"/>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row>
    <row r="699">
      <c r="A699" s="7"/>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row>
    <row r="700">
      <c r="A700" s="7"/>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row>
    <row r="701">
      <c r="A701" s="7"/>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row>
    <row r="702">
      <c r="A702" s="7"/>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row>
    <row r="703">
      <c r="A703" s="7"/>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row>
    <row r="704">
      <c r="A704" s="7"/>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row>
    <row r="705">
      <c r="A705" s="7"/>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row>
    <row r="706">
      <c r="A706" s="7"/>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row>
    <row r="707">
      <c r="A707" s="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row>
    <row r="708">
      <c r="A708" s="7"/>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row>
    <row r="709">
      <c r="A709" s="7"/>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row>
    <row r="710">
      <c r="A710" s="7"/>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row>
    <row r="711">
      <c r="A711" s="7"/>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row>
    <row r="712">
      <c r="A712" s="7"/>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row>
    <row r="713">
      <c r="A713" s="7"/>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row>
    <row r="714">
      <c r="A714" s="7"/>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row>
    <row r="715">
      <c r="A715" s="7"/>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row>
    <row r="716">
      <c r="A716" s="7"/>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row>
    <row r="717">
      <c r="A717" s="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row>
    <row r="718">
      <c r="A718" s="7"/>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row>
    <row r="719">
      <c r="A719" s="7"/>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row>
    <row r="720">
      <c r="A720" s="7"/>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row>
    <row r="721">
      <c r="A721" s="7"/>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row>
    <row r="722">
      <c r="A722" s="7"/>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row>
    <row r="723">
      <c r="A723" s="7"/>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row>
    <row r="724">
      <c r="A724" s="7"/>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row>
    <row r="725">
      <c r="A725" s="7"/>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row>
    <row r="726">
      <c r="A726" s="7"/>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row>
    <row r="727">
      <c r="A727" s="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row>
    <row r="728">
      <c r="A728" s="7"/>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row>
    <row r="729">
      <c r="A729" s="7"/>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row>
    <row r="730">
      <c r="A730" s="7"/>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row>
    <row r="731">
      <c r="A731" s="7"/>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row>
    <row r="732">
      <c r="A732" s="7"/>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row>
    <row r="733">
      <c r="A733" s="7"/>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row>
    <row r="734">
      <c r="A734" s="7"/>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row>
    <row r="735">
      <c r="A735" s="7"/>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row>
    <row r="736">
      <c r="A736" s="7"/>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row>
    <row r="737">
      <c r="A737" s="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row>
    <row r="738">
      <c r="A738" s="7"/>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row>
    <row r="739">
      <c r="A739" s="7"/>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row>
    <row r="740">
      <c r="A740" s="7"/>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row>
    <row r="741">
      <c r="A741" s="7"/>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row>
    <row r="742">
      <c r="A742" s="7"/>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row>
    <row r="743">
      <c r="A743" s="7"/>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row>
    <row r="744">
      <c r="A744" s="7"/>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row>
    <row r="745">
      <c r="A745" s="7"/>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row>
    <row r="746">
      <c r="A746" s="7"/>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row>
    <row r="747">
      <c r="A747" s="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row>
    <row r="748">
      <c r="A748" s="7"/>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row>
    <row r="749">
      <c r="A749" s="7"/>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row>
    <row r="750">
      <c r="A750" s="7"/>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row>
    <row r="751">
      <c r="A751" s="7"/>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row>
    <row r="752">
      <c r="A752" s="7"/>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row>
    <row r="753">
      <c r="A753" s="7"/>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row>
    <row r="754">
      <c r="A754" s="7"/>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row>
    <row r="755">
      <c r="A755" s="7"/>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row>
    <row r="756">
      <c r="A756" s="7"/>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row>
    <row r="757">
      <c r="A757" s="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row>
    <row r="758">
      <c r="A758" s="7"/>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row>
    <row r="759">
      <c r="A759" s="7"/>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row>
    <row r="760">
      <c r="A760" s="7"/>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row>
    <row r="761">
      <c r="A761" s="7"/>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row>
    <row r="762">
      <c r="A762" s="7"/>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row>
    <row r="763">
      <c r="A763" s="7"/>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row>
    <row r="764">
      <c r="A764" s="7"/>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row>
    <row r="765">
      <c r="A765" s="7"/>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row>
    <row r="766">
      <c r="A766" s="7"/>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row>
    <row r="767">
      <c r="A767" s="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row>
    <row r="768">
      <c r="A768" s="7"/>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row>
    <row r="769">
      <c r="A769" s="7"/>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row>
    <row r="770">
      <c r="A770" s="7"/>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row>
    <row r="771">
      <c r="A771" s="7"/>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row>
    <row r="772">
      <c r="A772" s="7"/>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row>
    <row r="773">
      <c r="A773" s="7"/>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row>
    <row r="774">
      <c r="A774" s="7"/>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row>
    <row r="775">
      <c r="A775" s="7"/>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row>
    <row r="776">
      <c r="A776" s="7"/>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row>
    <row r="777">
      <c r="A777" s="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row>
    <row r="778">
      <c r="A778" s="7"/>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row>
    <row r="779">
      <c r="A779" s="7"/>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row>
    <row r="780">
      <c r="A780" s="7"/>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row>
    <row r="781">
      <c r="A781" s="7"/>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row>
    <row r="782">
      <c r="A782" s="7"/>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row>
    <row r="783">
      <c r="A783" s="7"/>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row>
    <row r="784">
      <c r="A784" s="7"/>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row>
    <row r="785">
      <c r="A785" s="7"/>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row>
    <row r="786">
      <c r="A786" s="7"/>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row>
    <row r="787">
      <c r="A787" s="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row>
    <row r="788">
      <c r="A788" s="7"/>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row>
    <row r="789">
      <c r="A789" s="7"/>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row>
    <row r="790">
      <c r="A790" s="7"/>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row>
    <row r="791">
      <c r="A791" s="7"/>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row>
    <row r="792">
      <c r="A792" s="7"/>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row>
    <row r="793">
      <c r="A793" s="7"/>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row>
    <row r="794">
      <c r="A794" s="7"/>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row>
    <row r="795">
      <c r="A795" s="7"/>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row>
    <row r="796">
      <c r="A796" s="7"/>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row>
    <row r="797">
      <c r="A797" s="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row>
    <row r="798">
      <c r="A798" s="7"/>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row>
    <row r="799">
      <c r="A799" s="7"/>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row>
    <row r="800">
      <c r="A800" s="7"/>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row>
    <row r="801">
      <c r="A801" s="7"/>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row>
    <row r="802">
      <c r="A802" s="7"/>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row>
    <row r="803">
      <c r="A803" s="7"/>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row>
    <row r="804">
      <c r="A804" s="7"/>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row>
    <row r="805">
      <c r="A805" s="7"/>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row>
    <row r="806">
      <c r="A806" s="7"/>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row>
    <row r="807">
      <c r="A807" s="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row>
    <row r="808">
      <c r="A808" s="7"/>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row>
    <row r="809">
      <c r="A809" s="7"/>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row>
    <row r="810">
      <c r="A810" s="7"/>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row>
    <row r="811">
      <c r="A811" s="7"/>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row>
    <row r="812">
      <c r="A812" s="7"/>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row>
    <row r="813">
      <c r="A813" s="7"/>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row>
    <row r="814">
      <c r="A814" s="7"/>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row>
    <row r="815">
      <c r="A815" s="7"/>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row>
    <row r="816">
      <c r="A816" s="7"/>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row>
    <row r="817">
      <c r="A817" s="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row>
    <row r="818">
      <c r="A818" s="7"/>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row>
    <row r="819">
      <c r="A819" s="7"/>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row>
    <row r="820">
      <c r="A820" s="7"/>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row>
    <row r="821">
      <c r="A821" s="7"/>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row>
    <row r="822">
      <c r="A822" s="7"/>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row>
    <row r="823">
      <c r="A823" s="7"/>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row>
    <row r="824">
      <c r="A824" s="7"/>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row>
    <row r="825">
      <c r="A825" s="7"/>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row>
    <row r="826">
      <c r="A826" s="7"/>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row>
    <row r="827">
      <c r="A827" s="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row>
    <row r="828">
      <c r="A828" s="7"/>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row>
    <row r="829">
      <c r="A829" s="7"/>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row>
    <row r="830">
      <c r="A830" s="7"/>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row>
    <row r="831">
      <c r="A831" s="7"/>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row>
    <row r="832">
      <c r="A832" s="7"/>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row>
    <row r="833">
      <c r="A833" s="7"/>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row>
    <row r="834">
      <c r="A834" s="7"/>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row>
    <row r="835">
      <c r="A835" s="7"/>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row>
    <row r="836">
      <c r="A836" s="7"/>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row>
    <row r="837">
      <c r="A837" s="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row>
    <row r="838">
      <c r="A838" s="7"/>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row>
    <row r="839">
      <c r="A839" s="7"/>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row>
    <row r="840">
      <c r="A840" s="7"/>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row>
    <row r="841">
      <c r="A841" s="7"/>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row>
    <row r="842">
      <c r="A842" s="7"/>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row>
    <row r="843">
      <c r="A843" s="7"/>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row>
    <row r="844">
      <c r="A844" s="7"/>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row>
    <row r="845">
      <c r="A845" s="7"/>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row>
    <row r="846">
      <c r="A846" s="7"/>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row>
    <row r="847">
      <c r="A847" s="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row>
    <row r="848">
      <c r="A848" s="7"/>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row>
    <row r="849">
      <c r="A849" s="7"/>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row>
    <row r="850">
      <c r="A850" s="7"/>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row>
    <row r="851">
      <c r="A851" s="7"/>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row>
    <row r="852">
      <c r="A852" s="7"/>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row>
    <row r="853">
      <c r="A853" s="7"/>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row>
    <row r="854">
      <c r="A854" s="7"/>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row>
    <row r="855">
      <c r="A855" s="7"/>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row>
    <row r="856">
      <c r="A856" s="7"/>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row>
    <row r="857">
      <c r="A857" s="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row>
    <row r="858">
      <c r="A858" s="7"/>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row>
    <row r="859">
      <c r="A859" s="7"/>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row>
    <row r="860">
      <c r="A860" s="7"/>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row>
    <row r="861">
      <c r="A861" s="7"/>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row>
    <row r="862">
      <c r="A862" s="7"/>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row>
    <row r="863">
      <c r="A863" s="7"/>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row>
    <row r="864">
      <c r="A864" s="7"/>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row>
    <row r="865">
      <c r="A865" s="7"/>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row>
    <row r="866">
      <c r="A866" s="7"/>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row>
    <row r="867">
      <c r="A867" s="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row>
    <row r="868">
      <c r="A868" s="7"/>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row>
    <row r="869">
      <c r="A869" s="7"/>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row>
    <row r="870">
      <c r="A870" s="7"/>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row>
    <row r="871">
      <c r="A871" s="7"/>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row>
    <row r="872">
      <c r="A872" s="7"/>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row>
    <row r="873">
      <c r="A873" s="7"/>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row>
    <row r="874">
      <c r="A874" s="7"/>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row>
    <row r="875">
      <c r="A875" s="7"/>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row>
    <row r="876">
      <c r="A876" s="7"/>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row>
    <row r="877">
      <c r="A877" s="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row>
    <row r="878">
      <c r="A878" s="7"/>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row>
    <row r="879">
      <c r="A879" s="7"/>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row>
    <row r="880">
      <c r="A880" s="7"/>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row>
    <row r="881">
      <c r="A881" s="7"/>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row>
    <row r="882">
      <c r="A882" s="7"/>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row>
    <row r="883">
      <c r="A883" s="7"/>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row>
    <row r="884">
      <c r="A884" s="7"/>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row>
    <row r="885">
      <c r="A885" s="7"/>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row>
    <row r="886">
      <c r="A886" s="7"/>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row>
    <row r="887">
      <c r="A887" s="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row>
    <row r="888">
      <c r="A888" s="7"/>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row>
    <row r="889">
      <c r="A889" s="7"/>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row>
    <row r="890">
      <c r="A890" s="7"/>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row>
    <row r="891">
      <c r="A891" s="7"/>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row>
    <row r="892">
      <c r="A892" s="7"/>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row>
    <row r="893">
      <c r="A893" s="7"/>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row>
    <row r="894">
      <c r="A894" s="7"/>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row>
    <row r="895">
      <c r="A895" s="7"/>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row>
    <row r="896">
      <c r="A896" s="7"/>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row>
    <row r="897">
      <c r="A897" s="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row>
    <row r="898">
      <c r="A898" s="7"/>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row>
    <row r="899">
      <c r="A899" s="7"/>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row>
    <row r="900">
      <c r="A900" s="7"/>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row>
    <row r="901">
      <c r="A901" s="7"/>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row>
    <row r="902">
      <c r="A902" s="7"/>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row>
    <row r="903">
      <c r="A903" s="7"/>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row>
    <row r="904">
      <c r="A904" s="7"/>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row>
    <row r="905">
      <c r="A905" s="7"/>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row>
    <row r="906">
      <c r="A906" s="7"/>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row>
    <row r="907">
      <c r="A907" s="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row>
    <row r="908">
      <c r="A908" s="7"/>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row>
    <row r="909">
      <c r="A909" s="7"/>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row>
    <row r="910">
      <c r="A910" s="7"/>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row>
    <row r="911">
      <c r="A911" s="7"/>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row>
    <row r="912">
      <c r="A912" s="7"/>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row>
    <row r="913">
      <c r="A913" s="7"/>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row>
    <row r="914">
      <c r="A914" s="7"/>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row>
    <row r="915">
      <c r="A915" s="7"/>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row>
    <row r="916">
      <c r="A916" s="7"/>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row>
    <row r="917">
      <c r="A917" s="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row>
    <row r="918">
      <c r="A918" s="7"/>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row>
    <row r="919">
      <c r="A919" s="7"/>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row>
    <row r="920">
      <c r="A920" s="7"/>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row>
    <row r="921">
      <c r="A921" s="7"/>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row>
    <row r="922">
      <c r="A922" s="7"/>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row>
    <row r="923">
      <c r="A923" s="7"/>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row>
    <row r="924">
      <c r="A924" s="7"/>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row>
    <row r="925">
      <c r="A925" s="7"/>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row>
    <row r="926">
      <c r="A926" s="7"/>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row>
    <row r="927">
      <c r="A927" s="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row>
    <row r="928">
      <c r="A928" s="7"/>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row>
    <row r="929">
      <c r="A929" s="7"/>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row>
    <row r="930">
      <c r="A930" s="7"/>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row>
    <row r="931">
      <c r="A931" s="7"/>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row>
    <row r="932">
      <c r="A932" s="7"/>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row>
    <row r="933">
      <c r="A933" s="7"/>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row>
    <row r="934">
      <c r="A934" s="7"/>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row>
    <row r="935">
      <c r="A935" s="7"/>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row>
    <row r="936">
      <c r="A936" s="7"/>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row>
    <row r="937">
      <c r="A937" s="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row>
    <row r="938">
      <c r="A938" s="7"/>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row>
    <row r="939">
      <c r="A939" s="7"/>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row>
    <row r="940">
      <c r="A940" s="7"/>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row>
    <row r="941">
      <c r="A941" s="7"/>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row>
    <row r="942">
      <c r="A942" s="7"/>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row>
    <row r="943">
      <c r="A943" s="7"/>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row>
    <row r="944">
      <c r="A944" s="7"/>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row>
    <row r="945">
      <c r="A945" s="7"/>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row>
    <row r="946">
      <c r="A946" s="7"/>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row>
    <row r="947">
      <c r="A947" s="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row>
    <row r="948">
      <c r="A948" s="7"/>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row>
    <row r="949">
      <c r="A949" s="7"/>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row>
    <row r="950">
      <c r="A950" s="7"/>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row>
    <row r="951">
      <c r="A951" s="7"/>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row>
    <row r="952">
      <c r="A952" s="7"/>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row>
    <row r="953">
      <c r="A953" s="7"/>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row>
    <row r="954">
      <c r="A954" s="7"/>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row>
    <row r="955">
      <c r="A955" s="7"/>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row>
    <row r="956">
      <c r="A956" s="7"/>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row>
    <row r="957">
      <c r="A957" s="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row>
    <row r="958">
      <c r="A958" s="7"/>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row>
    <row r="959">
      <c r="A959" s="7"/>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row>
    <row r="960">
      <c r="A960" s="7"/>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row>
    <row r="961">
      <c r="A961" s="7"/>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row>
    <row r="962">
      <c r="A962" s="7"/>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row>
    <row r="963">
      <c r="A963" s="7"/>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row>
    <row r="964">
      <c r="A964" s="7"/>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row>
    <row r="965">
      <c r="A965" s="7"/>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row>
    <row r="966">
      <c r="A966" s="7"/>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row>
    <row r="967">
      <c r="A967" s="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row>
    <row r="968">
      <c r="A968" s="7"/>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row>
    <row r="969">
      <c r="A969" s="7"/>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row>
    <row r="970">
      <c r="A970" s="7"/>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row>
    <row r="971">
      <c r="A971" s="7"/>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row>
    <row r="972">
      <c r="A972" s="7"/>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row>
    <row r="973">
      <c r="A973" s="7"/>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row>
    <row r="974">
      <c r="A974" s="7"/>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row>
    <row r="975">
      <c r="A975" s="7"/>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row>
  </sheetData>
  <drawing r:id="rId1"/>
</worksheet>
</file>